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xr:revisionPtr revIDLastSave="0" documentId="13_ncr:1_{D8EFD1B9-886F-4624-84DA-C7EE72E4A2BE}" xr6:coauthVersionLast="47" xr6:coauthVersionMax="47" xr10:uidLastSave="{00000000-0000-0000-0000-000000000000}"/>
  <bookViews>
    <workbookView xWindow="-120" yWindow="-120" windowWidth="29040" windowHeight="15720" xr2:uid="{00000000-000D-0000-FFFF-FFFF00000000}"/>
  </bookViews>
  <sheets>
    <sheet name="Input" sheetId="1" r:id="rId1"/>
    <sheet name="Summary Report" sheetId="3" r:id="rId2"/>
    <sheet name="Scoring Guideline" sheetId="2" r:id="rId3"/>
    <sheet name="Sheet1"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 l="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O6" i="1"/>
  <c r="O7" i="1"/>
  <c r="O8"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N6" i="1"/>
  <c r="N7" i="1"/>
  <c r="N8"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5" i="1"/>
  <c r="R5" i="1"/>
  <c r="Q5" i="1"/>
  <c r="P5" i="1"/>
  <c r="O5" i="1"/>
  <c r="J55" i="1" l="1"/>
  <c r="J61" i="1"/>
  <c r="J64" i="1"/>
  <c r="J65" i="1"/>
  <c r="J68" i="1"/>
  <c r="L55" i="1"/>
  <c r="L61" i="1"/>
  <c r="L64" i="1"/>
  <c r="L65" i="1"/>
  <c r="L68" i="1"/>
  <c r="K55" i="1" l="1"/>
  <c r="K61" i="1"/>
  <c r="M61" i="1" s="1"/>
  <c r="K64" i="1"/>
  <c r="M64" i="1" s="1"/>
  <c r="K65" i="1"/>
  <c r="M65" i="1" s="1"/>
  <c r="K68" i="1"/>
  <c r="M68" i="1" s="1"/>
  <c r="M55" i="1"/>
  <c r="S5" i="1"/>
  <c r="G19" i="1"/>
  <c r="J19" i="1" s="1"/>
  <c r="O82" i="1"/>
  <c r="P82" i="1"/>
  <c r="Q82" i="1"/>
  <c r="R82" i="1"/>
  <c r="N82" i="1"/>
  <c r="S6"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7" i="1"/>
  <c r="D94" i="1"/>
  <c r="C7" i="3" s="1"/>
  <c r="D93" i="1"/>
  <c r="F6" i="3" s="1"/>
  <c r="D95" i="1"/>
  <c r="F8" i="3" s="1"/>
  <c r="D96" i="1"/>
  <c r="C9" i="3" l="1"/>
  <c r="F9" i="3"/>
  <c r="F7" i="3"/>
  <c r="C8" i="3"/>
  <c r="S82" i="1"/>
  <c r="C6" i="3"/>
  <c r="G69" i="1"/>
  <c r="J69" i="1" s="1"/>
  <c r="H69" i="1"/>
  <c r="K69" i="1" s="1"/>
  <c r="I69" i="1"/>
  <c r="L69" i="1" s="1"/>
  <c r="G70" i="1"/>
  <c r="J70" i="1" s="1"/>
  <c r="H70" i="1"/>
  <c r="K70" i="1" s="1"/>
  <c r="I70" i="1"/>
  <c r="L70" i="1" s="1"/>
  <c r="M69" i="1" l="1"/>
  <c r="M70" i="1"/>
  <c r="G9" i="1"/>
  <c r="J9" i="1" s="1"/>
  <c r="G5" i="1"/>
  <c r="J5" i="1" s="1"/>
  <c r="G6" i="1"/>
  <c r="J6" i="1" s="1"/>
  <c r="G7" i="1"/>
  <c r="J7" i="1" s="1"/>
  <c r="G8" i="1"/>
  <c r="J8" i="1" s="1"/>
  <c r="G8" i="3" l="1"/>
  <c r="H8" i="3" s="1"/>
  <c r="G6" i="3"/>
  <c r="H6" i="3" s="1"/>
  <c r="G9" i="3"/>
  <c r="H9" i="3" s="1"/>
  <c r="G7" i="3"/>
  <c r="H7" i="3" s="1"/>
  <c r="H10" i="3" l="1"/>
  <c r="I28" i="1"/>
  <c r="L28" i="1" s="1"/>
  <c r="I29" i="1"/>
  <c r="L29" i="1" s="1"/>
  <c r="I30" i="1"/>
  <c r="L30" i="1" s="1"/>
  <c r="I31" i="1"/>
  <c r="L31" i="1" s="1"/>
  <c r="I32" i="1"/>
  <c r="L32" i="1" s="1"/>
  <c r="I33" i="1"/>
  <c r="L33" i="1" s="1"/>
  <c r="I34" i="1"/>
  <c r="L34" i="1" s="1"/>
  <c r="I35" i="1"/>
  <c r="L35" i="1" s="1"/>
  <c r="I36" i="1"/>
  <c r="L36" i="1" s="1"/>
  <c r="I37" i="1"/>
  <c r="L37" i="1" s="1"/>
  <c r="I38" i="1"/>
  <c r="L38" i="1" s="1"/>
  <c r="I39" i="1"/>
  <c r="L39" i="1" s="1"/>
  <c r="I40" i="1"/>
  <c r="L40" i="1" s="1"/>
  <c r="I41" i="1"/>
  <c r="L41" i="1" s="1"/>
  <c r="I42" i="1"/>
  <c r="L42" i="1" s="1"/>
  <c r="I43" i="1"/>
  <c r="L43" i="1" s="1"/>
  <c r="I44" i="1"/>
  <c r="L44" i="1" s="1"/>
  <c r="I45" i="1"/>
  <c r="L45" i="1" s="1"/>
  <c r="I46" i="1"/>
  <c r="L46" i="1" s="1"/>
  <c r="I47" i="1"/>
  <c r="L47" i="1" s="1"/>
  <c r="I48" i="1"/>
  <c r="L48" i="1" s="1"/>
  <c r="I49" i="1"/>
  <c r="L49" i="1" s="1"/>
  <c r="I50" i="1"/>
  <c r="L50" i="1" s="1"/>
  <c r="I51" i="1"/>
  <c r="L51" i="1" s="1"/>
  <c r="I52" i="1"/>
  <c r="L52" i="1" s="1"/>
  <c r="I53" i="1"/>
  <c r="L53" i="1" s="1"/>
  <c r="I54" i="1"/>
  <c r="L54" i="1" s="1"/>
  <c r="I55" i="1"/>
  <c r="I56" i="1"/>
  <c r="L56" i="1" s="1"/>
  <c r="I57" i="1"/>
  <c r="L57" i="1" s="1"/>
  <c r="I58" i="1"/>
  <c r="L58" i="1" s="1"/>
  <c r="I59" i="1"/>
  <c r="L59" i="1" s="1"/>
  <c r="I60" i="1"/>
  <c r="L60" i="1" s="1"/>
  <c r="I61" i="1"/>
  <c r="I62" i="1"/>
  <c r="L62" i="1" s="1"/>
  <c r="I63" i="1"/>
  <c r="L63" i="1" s="1"/>
  <c r="I64" i="1"/>
  <c r="I65" i="1"/>
  <c r="I66" i="1"/>
  <c r="L66" i="1" s="1"/>
  <c r="I67" i="1"/>
  <c r="L67" i="1" s="1"/>
  <c r="I68" i="1"/>
  <c r="I71" i="1"/>
  <c r="L71" i="1" s="1"/>
  <c r="I72" i="1"/>
  <c r="L72" i="1" s="1"/>
  <c r="I73" i="1"/>
  <c r="L73" i="1" s="1"/>
  <c r="I74" i="1"/>
  <c r="L74" i="1" s="1"/>
  <c r="I75" i="1"/>
  <c r="L75" i="1" s="1"/>
  <c r="I76" i="1"/>
  <c r="L76" i="1" s="1"/>
  <c r="I77" i="1"/>
  <c r="L77" i="1" s="1"/>
  <c r="I78" i="1"/>
  <c r="L78" i="1" s="1"/>
  <c r="I79" i="1"/>
  <c r="L79" i="1" s="1"/>
  <c r="I80" i="1"/>
  <c r="L80" i="1" s="1"/>
  <c r="I81" i="1"/>
  <c r="L81" i="1" s="1"/>
  <c r="H28" i="1"/>
  <c r="K28" i="1" s="1"/>
  <c r="H29" i="1"/>
  <c r="K29" i="1" s="1"/>
  <c r="H30" i="1"/>
  <c r="K30" i="1" s="1"/>
  <c r="H31" i="1"/>
  <c r="K31" i="1" s="1"/>
  <c r="H32" i="1"/>
  <c r="K32" i="1" s="1"/>
  <c r="H33" i="1"/>
  <c r="K33" i="1" s="1"/>
  <c r="H34" i="1"/>
  <c r="K34" i="1" s="1"/>
  <c r="H35" i="1"/>
  <c r="K35" i="1" s="1"/>
  <c r="H36" i="1"/>
  <c r="K36" i="1" s="1"/>
  <c r="H37" i="1"/>
  <c r="K37" i="1" s="1"/>
  <c r="H38" i="1"/>
  <c r="K38" i="1" s="1"/>
  <c r="H39" i="1"/>
  <c r="K39" i="1" s="1"/>
  <c r="H40" i="1"/>
  <c r="K40" i="1" s="1"/>
  <c r="H41" i="1"/>
  <c r="K41" i="1" s="1"/>
  <c r="H42" i="1"/>
  <c r="K42" i="1" s="1"/>
  <c r="H43" i="1"/>
  <c r="K43" i="1" s="1"/>
  <c r="H44" i="1"/>
  <c r="K44" i="1" s="1"/>
  <c r="H45" i="1"/>
  <c r="K45" i="1" s="1"/>
  <c r="H46" i="1"/>
  <c r="K46" i="1" s="1"/>
  <c r="H47" i="1"/>
  <c r="K47" i="1" s="1"/>
  <c r="H48" i="1"/>
  <c r="K48" i="1" s="1"/>
  <c r="H49" i="1"/>
  <c r="K49" i="1" s="1"/>
  <c r="H50" i="1"/>
  <c r="K50" i="1" s="1"/>
  <c r="H51" i="1"/>
  <c r="K51" i="1" s="1"/>
  <c r="H52" i="1"/>
  <c r="K52" i="1" s="1"/>
  <c r="H53" i="1"/>
  <c r="K53" i="1" s="1"/>
  <c r="H54" i="1"/>
  <c r="K54" i="1" s="1"/>
  <c r="H55" i="1"/>
  <c r="H56" i="1"/>
  <c r="K56" i="1" s="1"/>
  <c r="H57" i="1"/>
  <c r="K57" i="1" s="1"/>
  <c r="H58" i="1"/>
  <c r="K58" i="1" s="1"/>
  <c r="H59" i="1"/>
  <c r="K59" i="1" s="1"/>
  <c r="H60" i="1"/>
  <c r="K60" i="1" s="1"/>
  <c r="H61" i="1"/>
  <c r="H62" i="1"/>
  <c r="K62" i="1" s="1"/>
  <c r="H63" i="1"/>
  <c r="K63" i="1" s="1"/>
  <c r="H64" i="1"/>
  <c r="H65" i="1"/>
  <c r="H66" i="1"/>
  <c r="K66" i="1" s="1"/>
  <c r="H67" i="1"/>
  <c r="K67" i="1" s="1"/>
  <c r="H68" i="1"/>
  <c r="H71" i="1"/>
  <c r="K71" i="1" s="1"/>
  <c r="H72" i="1"/>
  <c r="K72" i="1" s="1"/>
  <c r="H73" i="1"/>
  <c r="K73" i="1" s="1"/>
  <c r="H74" i="1"/>
  <c r="K74" i="1" s="1"/>
  <c r="H75" i="1"/>
  <c r="K75" i="1" s="1"/>
  <c r="H76" i="1"/>
  <c r="K76" i="1" s="1"/>
  <c r="H77" i="1"/>
  <c r="K77" i="1" s="1"/>
  <c r="H78" i="1"/>
  <c r="K78" i="1" s="1"/>
  <c r="H79" i="1"/>
  <c r="K79" i="1" s="1"/>
  <c r="H80" i="1"/>
  <c r="K80" i="1" s="1"/>
  <c r="H81" i="1"/>
  <c r="K81" i="1" s="1"/>
  <c r="H6" i="1"/>
  <c r="K6" i="1" s="1"/>
  <c r="H7" i="1"/>
  <c r="K7" i="1" s="1"/>
  <c r="H8" i="1"/>
  <c r="K8" i="1" s="1"/>
  <c r="H9" i="1"/>
  <c r="K9" i="1" s="1"/>
  <c r="H10" i="1"/>
  <c r="K10" i="1" s="1"/>
  <c r="H11" i="1"/>
  <c r="K11" i="1" s="1"/>
  <c r="H12" i="1"/>
  <c r="K12" i="1" s="1"/>
  <c r="H13" i="1"/>
  <c r="K13" i="1" s="1"/>
  <c r="H14" i="1"/>
  <c r="K14" i="1" s="1"/>
  <c r="H15" i="1"/>
  <c r="K15" i="1" s="1"/>
  <c r="H16" i="1"/>
  <c r="K16" i="1" s="1"/>
  <c r="H17" i="1"/>
  <c r="K17" i="1" s="1"/>
  <c r="H18" i="1"/>
  <c r="K18" i="1" s="1"/>
  <c r="H19" i="1"/>
  <c r="K19" i="1" s="1"/>
  <c r="H20" i="1"/>
  <c r="K20" i="1" s="1"/>
  <c r="H21" i="1"/>
  <c r="K21" i="1" s="1"/>
  <c r="H22" i="1"/>
  <c r="K22" i="1" s="1"/>
  <c r="H23" i="1"/>
  <c r="K23" i="1" s="1"/>
  <c r="H24" i="1"/>
  <c r="K24" i="1" s="1"/>
  <c r="H25" i="1"/>
  <c r="K25" i="1" s="1"/>
  <c r="H26" i="1"/>
  <c r="K26" i="1" s="1"/>
  <c r="H27" i="1"/>
  <c r="K27" i="1" s="1"/>
  <c r="I6" i="1"/>
  <c r="L6" i="1" s="1"/>
  <c r="I7" i="1"/>
  <c r="L7" i="1" s="1"/>
  <c r="I8" i="1"/>
  <c r="L8" i="1" s="1"/>
  <c r="I9" i="1"/>
  <c r="L9" i="1" s="1"/>
  <c r="I10" i="1"/>
  <c r="L10" i="1" s="1"/>
  <c r="I11" i="1"/>
  <c r="L11" i="1" s="1"/>
  <c r="I12" i="1"/>
  <c r="L12" i="1" s="1"/>
  <c r="I13" i="1"/>
  <c r="L13" i="1" s="1"/>
  <c r="I14" i="1"/>
  <c r="L14" i="1" s="1"/>
  <c r="I15" i="1"/>
  <c r="L15" i="1" s="1"/>
  <c r="I16" i="1"/>
  <c r="L16" i="1" s="1"/>
  <c r="I17" i="1"/>
  <c r="L17" i="1" s="1"/>
  <c r="I18" i="1"/>
  <c r="L18" i="1" s="1"/>
  <c r="I19" i="1"/>
  <c r="L19" i="1" s="1"/>
  <c r="I20" i="1"/>
  <c r="L20" i="1" s="1"/>
  <c r="I21" i="1"/>
  <c r="L21" i="1" s="1"/>
  <c r="I22" i="1"/>
  <c r="L22" i="1" s="1"/>
  <c r="I23" i="1"/>
  <c r="L23" i="1" s="1"/>
  <c r="I24" i="1"/>
  <c r="L24" i="1" s="1"/>
  <c r="I25" i="1"/>
  <c r="L25" i="1" s="1"/>
  <c r="I26" i="1"/>
  <c r="L26" i="1" s="1"/>
  <c r="I27" i="1"/>
  <c r="L27" i="1" s="1"/>
  <c r="I5" i="1"/>
  <c r="L5" i="1" s="1"/>
  <c r="H5" i="1"/>
  <c r="K5" i="1" s="1"/>
  <c r="M6" i="1" l="1"/>
  <c r="M8" i="1"/>
  <c r="M5" i="1"/>
  <c r="M19" i="1"/>
  <c r="M7" i="1"/>
  <c r="L82" i="1"/>
  <c r="K82" i="1"/>
  <c r="G10" i="1"/>
  <c r="J10" i="1" s="1"/>
  <c r="M10" i="1" s="1"/>
  <c r="G11" i="1"/>
  <c r="G12" i="1"/>
  <c r="J12" i="1" s="1"/>
  <c r="M12" i="1" s="1"/>
  <c r="G13" i="1"/>
  <c r="J13" i="1" s="1"/>
  <c r="M13" i="1" s="1"/>
  <c r="G14" i="1"/>
  <c r="J14" i="1" s="1"/>
  <c r="M14" i="1" s="1"/>
  <c r="G15" i="1"/>
  <c r="J15" i="1" s="1"/>
  <c r="M15" i="1" s="1"/>
  <c r="G16" i="1"/>
  <c r="J16" i="1" s="1"/>
  <c r="M16" i="1" s="1"/>
  <c r="G17" i="1"/>
  <c r="J17" i="1" s="1"/>
  <c r="M17" i="1" s="1"/>
  <c r="G18" i="1"/>
  <c r="J18" i="1" s="1"/>
  <c r="M18" i="1" s="1"/>
  <c r="G20" i="1"/>
  <c r="J20" i="1" s="1"/>
  <c r="M20" i="1" s="1"/>
  <c r="G21" i="1"/>
  <c r="J21" i="1" s="1"/>
  <c r="M21" i="1" s="1"/>
  <c r="G22" i="1"/>
  <c r="J22" i="1" s="1"/>
  <c r="M22" i="1" s="1"/>
  <c r="G23" i="1"/>
  <c r="J23" i="1" s="1"/>
  <c r="M23" i="1" s="1"/>
  <c r="G24" i="1"/>
  <c r="J24" i="1" s="1"/>
  <c r="M24" i="1" s="1"/>
  <c r="G25" i="1"/>
  <c r="J25" i="1" s="1"/>
  <c r="M25" i="1" s="1"/>
  <c r="G26" i="1"/>
  <c r="J26" i="1" s="1"/>
  <c r="M26" i="1" s="1"/>
  <c r="G27" i="1"/>
  <c r="J27" i="1" s="1"/>
  <c r="M27" i="1" s="1"/>
  <c r="G28" i="1"/>
  <c r="J28" i="1" s="1"/>
  <c r="M28" i="1" s="1"/>
  <c r="G29" i="1"/>
  <c r="J29" i="1" s="1"/>
  <c r="M29" i="1" s="1"/>
  <c r="G30" i="1"/>
  <c r="J30" i="1" s="1"/>
  <c r="M30" i="1" s="1"/>
  <c r="G31" i="1"/>
  <c r="J31" i="1" s="1"/>
  <c r="M31" i="1" s="1"/>
  <c r="G32" i="1"/>
  <c r="J32" i="1" s="1"/>
  <c r="M32" i="1" s="1"/>
  <c r="G33" i="1"/>
  <c r="J33" i="1" s="1"/>
  <c r="M33" i="1" s="1"/>
  <c r="G34" i="1"/>
  <c r="J34" i="1" s="1"/>
  <c r="M34" i="1" s="1"/>
  <c r="G35" i="1"/>
  <c r="J35" i="1" s="1"/>
  <c r="M35" i="1" s="1"/>
  <c r="G36" i="1"/>
  <c r="J36" i="1" s="1"/>
  <c r="M36" i="1" s="1"/>
  <c r="G37" i="1"/>
  <c r="J37" i="1" s="1"/>
  <c r="M37" i="1" s="1"/>
  <c r="G38" i="1"/>
  <c r="J38" i="1" s="1"/>
  <c r="M38" i="1" s="1"/>
  <c r="G39" i="1"/>
  <c r="J39" i="1" s="1"/>
  <c r="M39" i="1" s="1"/>
  <c r="G40" i="1"/>
  <c r="J40" i="1" s="1"/>
  <c r="M40" i="1" s="1"/>
  <c r="G41" i="1"/>
  <c r="J41" i="1" s="1"/>
  <c r="M41" i="1" s="1"/>
  <c r="G42" i="1"/>
  <c r="J42" i="1" s="1"/>
  <c r="M42" i="1" s="1"/>
  <c r="G43" i="1"/>
  <c r="J43" i="1" s="1"/>
  <c r="M43" i="1" s="1"/>
  <c r="G44" i="1"/>
  <c r="J44" i="1" s="1"/>
  <c r="M44" i="1" s="1"/>
  <c r="G45" i="1"/>
  <c r="J45" i="1" s="1"/>
  <c r="M45" i="1" s="1"/>
  <c r="G46" i="1"/>
  <c r="J46" i="1" s="1"/>
  <c r="M46" i="1" s="1"/>
  <c r="G47" i="1"/>
  <c r="J47" i="1" s="1"/>
  <c r="M47" i="1" s="1"/>
  <c r="G48" i="1"/>
  <c r="J48" i="1" s="1"/>
  <c r="M48" i="1" s="1"/>
  <c r="G49" i="1"/>
  <c r="J49" i="1" s="1"/>
  <c r="M49" i="1" s="1"/>
  <c r="G50" i="1"/>
  <c r="J50" i="1" s="1"/>
  <c r="M50" i="1" s="1"/>
  <c r="G51" i="1"/>
  <c r="J51" i="1" s="1"/>
  <c r="M51" i="1" s="1"/>
  <c r="G52" i="1"/>
  <c r="J52" i="1" s="1"/>
  <c r="M52" i="1" s="1"/>
  <c r="G53" i="1"/>
  <c r="J53" i="1" s="1"/>
  <c r="M53" i="1" s="1"/>
  <c r="G54" i="1"/>
  <c r="J54" i="1" s="1"/>
  <c r="M54" i="1" s="1"/>
  <c r="G55" i="1"/>
  <c r="G56" i="1"/>
  <c r="J56" i="1" s="1"/>
  <c r="M56" i="1" s="1"/>
  <c r="G57" i="1"/>
  <c r="J57" i="1" s="1"/>
  <c r="M57" i="1" s="1"/>
  <c r="G58" i="1"/>
  <c r="J58" i="1" s="1"/>
  <c r="M58" i="1" s="1"/>
  <c r="G59" i="1"/>
  <c r="J59" i="1" s="1"/>
  <c r="M59" i="1" s="1"/>
  <c r="G60" i="1"/>
  <c r="J60" i="1" s="1"/>
  <c r="M60" i="1" s="1"/>
  <c r="G61" i="1"/>
  <c r="G62" i="1"/>
  <c r="J62" i="1" s="1"/>
  <c r="M62" i="1" s="1"/>
  <c r="G63" i="1"/>
  <c r="J63" i="1" s="1"/>
  <c r="M63" i="1" s="1"/>
  <c r="G64" i="1"/>
  <c r="G65" i="1"/>
  <c r="G66" i="1"/>
  <c r="J66" i="1" s="1"/>
  <c r="M66" i="1" s="1"/>
  <c r="G67" i="1"/>
  <c r="J67" i="1" s="1"/>
  <c r="M67" i="1" s="1"/>
  <c r="G68" i="1"/>
  <c r="G71" i="1"/>
  <c r="J71" i="1" s="1"/>
  <c r="M71" i="1" s="1"/>
  <c r="G72" i="1"/>
  <c r="J72" i="1" s="1"/>
  <c r="M72" i="1" s="1"/>
  <c r="G73" i="1"/>
  <c r="J73" i="1" s="1"/>
  <c r="M73" i="1" s="1"/>
  <c r="G74" i="1"/>
  <c r="J74" i="1" s="1"/>
  <c r="M74" i="1" s="1"/>
  <c r="G75" i="1"/>
  <c r="J75" i="1" s="1"/>
  <c r="M75" i="1" s="1"/>
  <c r="G76" i="1"/>
  <c r="J76" i="1" s="1"/>
  <c r="M76" i="1" s="1"/>
  <c r="G77" i="1"/>
  <c r="J77" i="1" s="1"/>
  <c r="M77" i="1" s="1"/>
  <c r="G78" i="1"/>
  <c r="J78" i="1" s="1"/>
  <c r="M78" i="1" s="1"/>
  <c r="G79" i="1"/>
  <c r="J79" i="1" s="1"/>
  <c r="M79" i="1" s="1"/>
  <c r="G80" i="1"/>
  <c r="J80" i="1" s="1"/>
  <c r="M80" i="1" s="1"/>
  <c r="G81" i="1"/>
  <c r="J81" i="1" s="1"/>
  <c r="M81" i="1" s="1"/>
  <c r="J11" i="1" l="1"/>
  <c r="M11" i="1" s="1"/>
  <c r="M9" i="1"/>
  <c r="D9" i="3"/>
  <c r="D8" i="3"/>
  <c r="D7" i="3"/>
  <c r="M82" i="1" l="1"/>
  <c r="J82" i="1"/>
  <c r="E9" i="3"/>
  <c r="I9" i="3"/>
  <c r="E8" i="3"/>
  <c r="I8" i="3"/>
  <c r="E7" i="3"/>
  <c r="I7" i="3"/>
  <c r="D6" i="3"/>
  <c r="E6" i="3" l="1"/>
  <c r="I6" i="3"/>
  <c r="E10" i="3"/>
  <c r="I10" i="3" s="1"/>
</calcChain>
</file>

<file path=xl/sharedStrings.xml><?xml version="1.0" encoding="utf-8"?>
<sst xmlns="http://schemas.openxmlformats.org/spreadsheetml/2006/main" count="372" uniqueCount="292">
  <si>
    <t>ACSS Open Data Assesment Tools</t>
  </si>
  <si>
    <t>Please only fill columns F, N, O, P, Q, R, T and U.
The rest of cells will be auto-generated.</t>
  </si>
  <si>
    <t>Reference Year:</t>
  </si>
  <si>
    <t>Section</t>
  </si>
  <si>
    <t>Category</t>
  </si>
  <si>
    <t>Indicator</t>
  </si>
  <si>
    <r>
      <t>Disaggregation
(</t>
    </r>
    <r>
      <rPr>
        <b/>
        <sz val="12"/>
        <color rgb="FFFF0000"/>
        <rFont val="Calibri"/>
        <family val="2"/>
        <scheme val="minor"/>
      </rPr>
      <t>^</t>
    </r>
    <r>
      <rPr>
        <b/>
        <sz val="12"/>
        <rFont val="Calibri"/>
        <family val="2"/>
        <scheme val="minor"/>
      </rPr>
      <t xml:space="preserve"> is for </t>
    </r>
    <r>
      <rPr>
        <b/>
        <sz val="12"/>
        <color rgb="FF00B0F0"/>
        <rFont val="Calibri"/>
        <family val="2"/>
        <scheme val="minor"/>
      </rPr>
      <t xml:space="preserve">ASEAN </t>
    </r>
    <r>
      <rPr>
        <b/>
        <sz val="12"/>
        <color theme="1"/>
        <rFont val="Calibri"/>
        <family val="2"/>
        <scheme val="minor"/>
      </rPr>
      <t>Only)</t>
    </r>
  </si>
  <si>
    <r>
      <t xml:space="preserve">Series of data availability
</t>
    </r>
    <r>
      <rPr>
        <b/>
        <sz val="12"/>
        <color rgb="FFFF0000"/>
        <rFont val="Calibri"/>
        <family val="2"/>
        <scheme val="minor"/>
      </rPr>
      <t>Separate years by comma, i.e: 2010, 2017,2018 
if 0 number of years are available, leave blank
if indicator is not applicable, indicate NA</t>
    </r>
  </si>
  <si>
    <t>Count of any years</t>
  </si>
  <si>
    <t>Count of last 5 Years</t>
  </si>
  <si>
    <t>Count of last 10 Years</t>
  </si>
  <si>
    <t>Coverage: Data availability/published for public [C]</t>
  </si>
  <si>
    <t>Openenness [O]</t>
  </si>
  <si>
    <t>URL(s) containing respective datasets assessed</t>
  </si>
  <si>
    <t>Remarks</t>
  </si>
  <si>
    <t>At least one year [C1]</t>
  </si>
  <si>
    <t>AT least 3 of the last 5 years [C2]</t>
  </si>
  <si>
    <t>At least 6 of the last 10 years [C3]</t>
  </si>
  <si>
    <t>Coverage Sub Score
[C1] + [C2] +C3]</t>
  </si>
  <si>
    <t>Machine Readability [O1]
1 or 0 point</t>
  </si>
  <si>
    <t>Non Proprietary [O2]
1 or 0 point</t>
  </si>
  <si>
    <t>Download Options [O3]
1 or 0.5 or 0 point</t>
  </si>
  <si>
    <t>Metadata Availability [O4]
1 or 0,5 or 0 point</t>
  </si>
  <si>
    <t>Term of Use [O5]
1 or 0.5 or 0 point</t>
  </si>
  <si>
    <t>Openness Sub Score 
[O1] + [O2] + [03]</t>
  </si>
  <si>
    <t>Socio-Demography</t>
  </si>
  <si>
    <t>Poverty</t>
  </si>
  <si>
    <r>
      <t xml:space="preserve">Proportion of Population Living below National Poverty Line </t>
    </r>
    <r>
      <rPr>
        <sz val="12"/>
        <color rgb="FF0000FF"/>
        <rFont val="Calibri"/>
        <family val="2"/>
        <scheme val="minor"/>
      </rPr>
      <t>(2)</t>
    </r>
  </si>
  <si>
    <t>i.       Total</t>
  </si>
  <si>
    <t>ii.      By Sex</t>
  </si>
  <si>
    <r>
      <t xml:space="preserve">Income Distribution </t>
    </r>
    <r>
      <rPr>
        <sz val="12"/>
        <color rgb="FF0000FF"/>
        <rFont val="Calibri"/>
        <family val="2"/>
        <scheme val="minor"/>
      </rPr>
      <t>(1)</t>
    </r>
  </si>
  <si>
    <t>Decile or Quintile</t>
  </si>
  <si>
    <r>
      <t xml:space="preserve">Gini Coefficient </t>
    </r>
    <r>
      <rPr>
        <sz val="12"/>
        <color rgb="FF0000FF"/>
        <rFont val="Calibri"/>
        <family val="2"/>
        <scheme val="minor"/>
      </rPr>
      <t>(1)</t>
    </r>
  </si>
  <si>
    <t>Population</t>
  </si>
  <si>
    <r>
      <t xml:space="preserve">Population </t>
    </r>
    <r>
      <rPr>
        <sz val="12"/>
        <color rgb="FF0000FF"/>
        <rFont val="Calibri"/>
        <family val="2"/>
        <scheme val="minor"/>
      </rPr>
      <t>(4)</t>
    </r>
  </si>
  <si>
    <t>iii.     By Age Group</t>
  </si>
  <si>
    <t>iv.     By Urban/ Rural/ Slums</t>
  </si>
  <si>
    <r>
      <t xml:space="preserve">Population Growth Rate </t>
    </r>
    <r>
      <rPr>
        <sz val="12"/>
        <color rgb="FF0000FF"/>
        <rFont val="Calibri"/>
        <family val="2"/>
        <scheme val="minor"/>
      </rPr>
      <t>(1)</t>
    </r>
  </si>
  <si>
    <r>
      <t xml:space="preserve">Population Density </t>
    </r>
    <r>
      <rPr>
        <sz val="12"/>
        <color rgb="FF0000FF"/>
        <rFont val="Calibri"/>
        <family val="2"/>
        <scheme val="minor"/>
      </rPr>
      <t>(1)</t>
    </r>
  </si>
  <si>
    <t>Health and Well-Being</t>
  </si>
  <si>
    <r>
      <t xml:space="preserve">Total Fertility Rate </t>
    </r>
    <r>
      <rPr>
        <sz val="12"/>
        <color rgb="FF0000FF"/>
        <rFont val="Calibri"/>
        <family val="2"/>
        <scheme val="minor"/>
      </rPr>
      <t>(1)</t>
    </r>
  </si>
  <si>
    <r>
      <t xml:space="preserve">Life Expectancy at Birth </t>
    </r>
    <r>
      <rPr>
        <sz val="12"/>
        <color rgb="FF0000FF"/>
        <rFont val="Calibri"/>
        <family val="2"/>
        <scheme val="minor"/>
      </rPr>
      <t>(1)</t>
    </r>
  </si>
  <si>
    <r>
      <t xml:space="preserve">Neonatal Mortality Rate Per 1,000 Live Births </t>
    </r>
    <r>
      <rPr>
        <sz val="12"/>
        <color rgb="FF0000FF"/>
        <rFont val="Calibri"/>
        <family val="2"/>
        <scheme val="minor"/>
      </rPr>
      <t>(1)</t>
    </r>
  </si>
  <si>
    <r>
      <t xml:space="preserve">Under-5 Mortality Rate Per 1,000 Live Births </t>
    </r>
    <r>
      <rPr>
        <sz val="12"/>
        <color rgb="FF0000FF"/>
        <rFont val="Calibri"/>
        <family val="2"/>
        <scheme val="minor"/>
      </rPr>
      <t>(1)</t>
    </r>
  </si>
  <si>
    <r>
      <t xml:space="preserve">Maternal Mortality Ratio Per 100,000 Live Births </t>
    </r>
    <r>
      <rPr>
        <sz val="12"/>
        <color rgb="FF0000FF"/>
        <rFont val="Calibri"/>
        <family val="2"/>
        <scheme val="minor"/>
      </rPr>
      <t>(1)</t>
    </r>
  </si>
  <si>
    <t>Health Outcomes</t>
  </si>
  <si>
    <r>
      <t xml:space="preserve">Prevalence of Stunting and Malnutrition among Children Under 5 Years of Age </t>
    </r>
    <r>
      <rPr>
        <sz val="12"/>
        <color rgb="FF0000FF"/>
        <rFont val="Calibri"/>
        <family val="2"/>
        <scheme val="minor"/>
      </rPr>
      <t>(1)</t>
    </r>
  </si>
  <si>
    <r>
      <t xml:space="preserve">Disease Incidence Rate </t>
    </r>
    <r>
      <rPr>
        <sz val="12"/>
        <color rgb="FF0000FF"/>
        <rFont val="Calibri"/>
        <family val="2"/>
        <scheme val="minor"/>
      </rPr>
      <t>(3)</t>
    </r>
  </si>
  <si>
    <t>i.       Tuberculosis</t>
  </si>
  <si>
    <t>ii.      Malaria</t>
  </si>
  <si>
    <t>iii.     HIV</t>
  </si>
  <si>
    <t>Education</t>
  </si>
  <si>
    <r>
      <t xml:space="preserve">Enrolment Ratio (Gross/ Net) </t>
    </r>
    <r>
      <rPr>
        <sz val="12"/>
        <color rgb="FF0000FF"/>
        <rFont val="Calibri"/>
        <family val="2"/>
        <scheme val="minor"/>
      </rPr>
      <t>(3)</t>
    </r>
  </si>
  <si>
    <t>iii.     By Level (Primary, Secondary and Tertiary)</t>
  </si>
  <si>
    <r>
      <t xml:space="preserve">Adult Literacy Rate </t>
    </r>
    <r>
      <rPr>
        <sz val="12"/>
        <color rgb="FF0000FF"/>
        <rFont val="Calibri"/>
        <family val="2"/>
        <scheme val="minor"/>
      </rPr>
      <t>(2)</t>
    </r>
  </si>
  <si>
    <t>Labour</t>
  </si>
  <si>
    <r>
      <t xml:space="preserve">Unemployment Rate </t>
    </r>
    <r>
      <rPr>
        <sz val="12"/>
        <color rgb="FF0000FF"/>
        <rFont val="Calibri"/>
        <family val="2"/>
        <scheme val="minor"/>
      </rPr>
      <t>(3)</t>
    </r>
  </si>
  <si>
    <t>iii.     By Age</t>
  </si>
  <si>
    <r>
      <rPr>
        <sz val="12"/>
        <rFont val="Calibri"/>
        <family val="2"/>
        <scheme val="minor"/>
      </rPr>
      <t xml:space="preserve">Labour Force Participation Rate </t>
    </r>
    <r>
      <rPr>
        <sz val="12"/>
        <color rgb="FF0000FF"/>
        <rFont val="Calibri"/>
        <family val="2"/>
        <scheme val="minor"/>
      </rPr>
      <t>(3)</t>
    </r>
  </si>
  <si>
    <t>Gender Equality</t>
  </si>
  <si>
    <r>
      <t xml:space="preserve">Proportion of Seats Held by Women </t>
    </r>
    <r>
      <rPr>
        <sz val="12"/>
        <color rgb="FF0000FF"/>
        <rFont val="Calibri"/>
        <family val="2"/>
        <scheme val="minor"/>
      </rPr>
      <t>(2)</t>
    </r>
  </si>
  <si>
    <t>i.       Government/ Parliament</t>
  </si>
  <si>
    <t>ii.      Management Positions</t>
  </si>
  <si>
    <t>Macroeconomic Indicators</t>
  </si>
  <si>
    <t>GDP</t>
  </si>
  <si>
    <r>
      <rPr>
        <sz val="12"/>
        <rFont val="Calibri"/>
        <family val="2"/>
        <scheme val="minor"/>
      </rPr>
      <t xml:space="preserve">GDP at Current Prices </t>
    </r>
    <r>
      <rPr>
        <sz val="12"/>
        <color rgb="FF0000FF"/>
        <rFont val="Calibri"/>
        <family val="2"/>
        <scheme val="minor"/>
      </rPr>
      <t>(2)</t>
    </r>
  </si>
  <si>
    <t>i.      Total</t>
  </si>
  <si>
    <t>ii.      By Sector/ Industry</t>
  </si>
  <si>
    <r>
      <t xml:space="preserve">GDP Growth Rate at Constant Prices  </t>
    </r>
    <r>
      <rPr>
        <sz val="12"/>
        <color rgb="FF0000FF"/>
        <rFont val="Calibri"/>
        <family val="2"/>
        <scheme val="minor"/>
      </rPr>
      <t>(1)</t>
    </r>
  </si>
  <si>
    <r>
      <rPr>
        <sz val="12"/>
        <rFont val="Calibri"/>
        <family val="2"/>
        <scheme val="minor"/>
      </rPr>
      <t xml:space="preserve">GDP Per Capita at Current Prices  </t>
    </r>
    <r>
      <rPr>
        <sz val="12"/>
        <color rgb="FF0000FF"/>
        <rFont val="Calibri"/>
        <family val="2"/>
        <scheme val="minor"/>
      </rPr>
      <t>(1)</t>
    </r>
  </si>
  <si>
    <r>
      <t xml:space="preserve">Growth Rate of Real GDP Per Capita  </t>
    </r>
    <r>
      <rPr>
        <sz val="12"/>
        <color rgb="FF0000FF"/>
        <rFont val="Calibri"/>
        <family val="2"/>
        <scheme val="minor"/>
      </rPr>
      <t>(1)</t>
    </r>
  </si>
  <si>
    <t>Manufacturing</t>
  </si>
  <si>
    <r>
      <t xml:space="preserve">Manufacturing  </t>
    </r>
    <r>
      <rPr>
        <sz val="12"/>
        <color rgb="FF0000FF"/>
        <rFont val="Calibri"/>
        <family val="2"/>
        <scheme val="minor"/>
      </rPr>
      <t>(3)</t>
    </r>
  </si>
  <si>
    <t>i.      Value Added Per Capita</t>
  </si>
  <si>
    <t>ii.      Value Added as a Percentage of GDP</t>
  </si>
  <si>
    <t>iii.     Share to total Employment</t>
  </si>
  <si>
    <t>Prices</t>
  </si>
  <si>
    <r>
      <rPr>
        <sz val="12"/>
        <rFont val="Calibri"/>
        <family val="2"/>
        <scheme val="minor"/>
      </rPr>
      <t xml:space="preserve">Consumer Price Index </t>
    </r>
    <r>
      <rPr>
        <sz val="12"/>
        <color rgb="FF0000FF"/>
        <rFont val="Calibri"/>
        <family val="2"/>
        <scheme val="minor"/>
      </rPr>
      <t>(2)</t>
    </r>
  </si>
  <si>
    <t>ii.      By Commodity/ Industry</t>
  </si>
  <si>
    <r>
      <t xml:space="preserve">Producer Price Index  </t>
    </r>
    <r>
      <rPr>
        <sz val="12"/>
        <color rgb="FF0000FF"/>
        <rFont val="Calibri"/>
        <family val="2"/>
        <scheme val="minor"/>
      </rPr>
      <t>(1)</t>
    </r>
  </si>
  <si>
    <r>
      <rPr>
        <sz val="12"/>
        <rFont val="Calibri"/>
        <family val="2"/>
        <scheme val="minor"/>
      </rPr>
      <t xml:space="preserve">Index of Industrial Production  </t>
    </r>
    <r>
      <rPr>
        <sz val="12"/>
        <color rgb="FF0000FF"/>
        <rFont val="Calibri"/>
        <family val="2"/>
        <scheme val="minor"/>
      </rPr>
      <t>(1)</t>
    </r>
  </si>
  <si>
    <t>Public Finance</t>
  </si>
  <si>
    <r>
      <t xml:space="preserve">Government Finance </t>
    </r>
    <r>
      <rPr>
        <sz val="12"/>
        <color rgb="FF0000FF"/>
        <rFont val="Calibri"/>
        <family val="2"/>
        <scheme val="minor"/>
      </rPr>
      <t>(2)</t>
    </r>
  </si>
  <si>
    <t>i.      Revenue</t>
  </si>
  <si>
    <t>ii.      Expenditure</t>
  </si>
  <si>
    <t>Trade and Investment</t>
  </si>
  <si>
    <t>Trade in Goods</t>
  </si>
  <si>
    <r>
      <rPr>
        <sz val="12"/>
        <rFont val="Calibri"/>
        <family val="2"/>
        <scheme val="minor"/>
      </rPr>
      <t xml:space="preserve">Trade in Goods </t>
    </r>
    <r>
      <rPr>
        <sz val="12"/>
        <color rgb="FF0000FF"/>
        <rFont val="Calibri"/>
        <family val="2"/>
        <scheme val="minor"/>
      </rPr>
      <t>AMS: (4) ASEANStats: (5)</t>
    </r>
  </si>
  <si>
    <t>i.      Total by AHTN8</t>
  </si>
  <si>
    <t>ii.      Export by AHTN8</t>
  </si>
  <si>
    <t>iii.     Import by AHTN8</t>
  </si>
  <si>
    <t>iv.     By Country/ Region</t>
  </si>
  <si>
    <r>
      <t xml:space="preserve">v.      By Intra, Extra </t>
    </r>
    <r>
      <rPr>
        <b/>
        <sz val="12"/>
        <color rgb="FFFF0000"/>
        <rFont val="Calibri"/>
        <family val="2"/>
        <scheme val="minor"/>
      </rPr>
      <t>^</t>
    </r>
  </si>
  <si>
    <t>NA</t>
  </si>
  <si>
    <t>Trade in Services</t>
  </si>
  <si>
    <r>
      <rPr>
        <sz val="12"/>
        <rFont val="Calibri"/>
        <family val="2"/>
        <scheme val="minor"/>
      </rPr>
      <t xml:space="preserve">Trade in Services
</t>
    </r>
    <r>
      <rPr>
        <sz val="12"/>
        <color rgb="FF0000FF"/>
        <rFont val="Calibri"/>
        <family val="2"/>
        <scheme val="minor"/>
      </rPr>
      <t>AMS: (5)
ASEANStats: (6)</t>
    </r>
  </si>
  <si>
    <t>ii.      Export</t>
  </si>
  <si>
    <t>iii.     Import</t>
  </si>
  <si>
    <t>iv.     By Category</t>
  </si>
  <si>
    <t>v.      By Country/ Region</t>
  </si>
  <si>
    <r>
      <t xml:space="preserve">vi.     By Intra, Extra </t>
    </r>
    <r>
      <rPr>
        <b/>
        <sz val="12"/>
        <color rgb="FFFF0000"/>
        <rFont val="Calibri"/>
        <family val="2"/>
        <scheme val="minor"/>
      </rPr>
      <t>^</t>
    </r>
  </si>
  <si>
    <t>Investment</t>
  </si>
  <si>
    <r>
      <rPr>
        <sz val="12"/>
        <rFont val="Calibri"/>
        <family val="2"/>
        <scheme val="minor"/>
      </rPr>
      <t xml:space="preserve">Net FDI Inflows </t>
    </r>
    <r>
      <rPr>
        <sz val="12"/>
        <color rgb="FF0000FF"/>
        <rFont val="Calibri"/>
        <family val="2"/>
        <scheme val="minor"/>
      </rPr>
      <t>AMS: (2)
ASEANStats: (4)</t>
    </r>
  </si>
  <si>
    <t>ii.      By Sources</t>
  </si>
  <si>
    <r>
      <t>iii.     By Sector/ Activities</t>
    </r>
    <r>
      <rPr>
        <b/>
        <sz val="12"/>
        <color rgb="FFFF0000"/>
        <rFont val="Calibri"/>
        <family val="2"/>
        <scheme val="minor"/>
      </rPr>
      <t>^</t>
    </r>
  </si>
  <si>
    <r>
      <t xml:space="preserve">iv.     By Intra, Extra </t>
    </r>
    <r>
      <rPr>
        <b/>
        <sz val="12"/>
        <color rgb="FFFF0000"/>
        <rFont val="Calibri"/>
        <family val="2"/>
        <scheme val="minor"/>
      </rPr>
      <t>^</t>
    </r>
  </si>
  <si>
    <t>Connectivity and Environment Indicators</t>
  </si>
  <si>
    <t>Tourism</t>
  </si>
  <si>
    <r>
      <rPr>
        <sz val="12"/>
        <rFont val="Calibri"/>
        <family val="2"/>
        <scheme val="minor"/>
      </rPr>
      <t xml:space="preserve">Tourist Arrivals
</t>
    </r>
    <r>
      <rPr>
        <sz val="12"/>
        <color rgb="FF0000FF"/>
        <rFont val="Calibri"/>
        <family val="2"/>
        <scheme val="minor"/>
      </rPr>
      <t>AMS: (2)
ASEANStats: (3)</t>
    </r>
  </si>
  <si>
    <t>ii.      By Country/ Region</t>
  </si>
  <si>
    <r>
      <t xml:space="preserve">iii.     By Intra, Extra </t>
    </r>
    <r>
      <rPr>
        <b/>
        <sz val="12"/>
        <color rgb="FFFF0000"/>
        <rFont val="Calibri"/>
        <family val="2"/>
        <scheme val="minor"/>
      </rPr>
      <t>^</t>
    </r>
  </si>
  <si>
    <t>Transport</t>
  </si>
  <si>
    <r>
      <t xml:space="preserve">Passenger Traffic  </t>
    </r>
    <r>
      <rPr>
        <sz val="12"/>
        <color rgb="FF0000FF"/>
        <rFont val="Calibri"/>
        <family val="2"/>
        <scheme val="minor"/>
      </rPr>
      <t>(1)</t>
    </r>
  </si>
  <si>
    <t>By Mode of Transport (At Least 2 Modes)</t>
  </si>
  <si>
    <r>
      <t xml:space="preserve">Freight Volumes  </t>
    </r>
    <r>
      <rPr>
        <sz val="12"/>
        <color rgb="FF0000FF"/>
        <rFont val="Calibri"/>
        <family val="2"/>
        <scheme val="minor"/>
      </rPr>
      <t>(1)</t>
    </r>
  </si>
  <si>
    <r>
      <rPr>
        <sz val="12"/>
        <rFont val="Calibri"/>
        <family val="2"/>
        <scheme val="minor"/>
      </rPr>
      <t xml:space="preserve">Death Rate Due to Road Traffic Injuries </t>
    </r>
    <r>
      <rPr>
        <sz val="12"/>
        <color rgb="FF0000FF"/>
        <rFont val="Calibri"/>
        <family val="2"/>
        <scheme val="minor"/>
      </rPr>
      <t>(1)</t>
    </r>
  </si>
  <si>
    <t>Communications</t>
  </si>
  <si>
    <r>
      <rPr>
        <sz val="12"/>
        <rFont val="Calibri"/>
        <family val="2"/>
        <scheme val="minor"/>
      </rPr>
      <t xml:space="preserve">Proportion of Individuals Using
Internet </t>
    </r>
    <r>
      <rPr>
        <sz val="12"/>
        <color rgb="FF0000FF"/>
        <rFont val="Calibri"/>
        <family val="2"/>
        <scheme val="minor"/>
      </rPr>
      <t>(1)</t>
    </r>
  </si>
  <si>
    <r>
      <rPr>
        <sz val="12"/>
        <rFont val="Calibri"/>
        <family val="2"/>
        <scheme val="minor"/>
      </rPr>
      <t xml:space="preserve">Fixed Internet Broadband Subscriptions Per 100 Population </t>
    </r>
    <r>
      <rPr>
        <sz val="12"/>
        <color rgb="FF0000FF"/>
        <rFont val="Calibri"/>
        <family val="2"/>
        <scheme val="minor"/>
      </rPr>
      <t>(1)</t>
    </r>
  </si>
  <si>
    <r>
      <rPr>
        <sz val="12"/>
        <rFont val="Calibri"/>
        <family val="2"/>
        <scheme val="minor"/>
      </rPr>
      <t xml:space="preserve">Proportion of Population Covered
by a Mobile Network </t>
    </r>
    <r>
      <rPr>
        <sz val="12"/>
        <color rgb="FF0000FF"/>
        <rFont val="Calibri"/>
        <family val="2"/>
        <scheme val="minor"/>
      </rPr>
      <t>(1)</t>
    </r>
  </si>
  <si>
    <t>Access to Clean Water, Sanitation and Electricity</t>
  </si>
  <si>
    <r>
      <rPr>
        <sz val="12"/>
        <rFont val="Calibri"/>
        <family val="2"/>
        <scheme val="minor"/>
      </rPr>
      <t xml:space="preserve">Proportion of Population with Access to Safe Drinking Water </t>
    </r>
    <r>
      <rPr>
        <sz val="12"/>
        <color rgb="FF0000FF"/>
        <rFont val="Calibri"/>
        <family val="2"/>
        <scheme val="minor"/>
      </rPr>
      <t>(1)</t>
    </r>
  </si>
  <si>
    <r>
      <rPr>
        <sz val="12"/>
        <rFont val="Calibri"/>
        <family val="2"/>
        <scheme val="minor"/>
      </rPr>
      <t xml:space="preserve">Proportion of Population with Access to Improved Sanitation </t>
    </r>
    <r>
      <rPr>
        <sz val="12"/>
        <color rgb="FF0000FF"/>
        <rFont val="Calibri"/>
        <family val="2"/>
        <scheme val="minor"/>
      </rPr>
      <t>(1)</t>
    </r>
  </si>
  <si>
    <r>
      <rPr>
        <sz val="12"/>
        <rFont val="Calibri"/>
        <family val="2"/>
        <scheme val="minor"/>
      </rPr>
      <t xml:space="preserve">Proportion of Population with
Access to Electricity </t>
    </r>
    <r>
      <rPr>
        <sz val="12"/>
        <color rgb="FF0000FF"/>
        <rFont val="Calibri"/>
        <family val="2"/>
        <scheme val="minor"/>
      </rPr>
      <t>(1)</t>
    </r>
  </si>
  <si>
    <t>Emissions of Air Pollutants</t>
  </si>
  <si>
    <r>
      <rPr>
        <sz val="12"/>
        <rFont val="Calibri"/>
        <family val="2"/>
        <scheme val="minor"/>
      </rPr>
      <t xml:space="preserve">Annual Mean Levels of Particulate Matter (PM2.5 &amp; PM10) in Cities </t>
    </r>
    <r>
      <rPr>
        <sz val="12"/>
        <color rgb="FF0000FF"/>
        <rFont val="Calibri"/>
        <family val="2"/>
        <scheme val="minor"/>
      </rPr>
      <t>(1)</t>
    </r>
  </si>
  <si>
    <t>Natural Disasters</t>
  </si>
  <si>
    <r>
      <rPr>
        <sz val="12"/>
        <rFont val="Calibri"/>
        <family val="2"/>
        <scheme val="minor"/>
      </rPr>
      <t xml:space="preserve">Persons Directly Affected by Disasters Per 100,000 Population </t>
    </r>
    <r>
      <rPr>
        <sz val="12"/>
        <color rgb="FF0000FF"/>
        <rFont val="Calibri"/>
        <family val="2"/>
        <scheme val="minor"/>
      </rPr>
      <t>(1)</t>
    </r>
  </si>
  <si>
    <t>Resource Use</t>
  </si>
  <si>
    <r>
      <rPr>
        <sz val="12"/>
        <rFont val="Calibri"/>
        <family val="2"/>
        <scheme val="minor"/>
      </rPr>
      <t xml:space="preserve">Coverage of Protected Areas in Relation to Marine Areas </t>
    </r>
    <r>
      <rPr>
        <sz val="12"/>
        <color rgb="FF0000FF"/>
        <rFont val="Calibri"/>
        <family val="2"/>
        <scheme val="minor"/>
      </rPr>
      <t>(1)</t>
    </r>
  </si>
  <si>
    <r>
      <rPr>
        <sz val="12"/>
        <rFont val="Calibri"/>
        <family val="2"/>
        <scheme val="minor"/>
      </rPr>
      <t xml:space="preserve">Forest Area as Proportion of Total Land Area </t>
    </r>
    <r>
      <rPr>
        <sz val="12"/>
        <color rgb="FF0000FF"/>
        <rFont val="Calibri"/>
        <family val="2"/>
        <scheme val="minor"/>
      </rPr>
      <t>(1)</t>
    </r>
  </si>
  <si>
    <t xml:space="preserve">Total </t>
  </si>
  <si>
    <t>Note:</t>
  </si>
  <si>
    <t>1. Please fill in the yellow cell only, the gray cell is auto fill by formula and the blue cell is for ASEANstats only</t>
  </si>
  <si>
    <t xml:space="preserve">2. Click on the header title for the explanation </t>
  </si>
  <si>
    <t>3. No need to fill the summary report, the summary report is auto calculated based on this worksheed (Input)</t>
  </si>
  <si>
    <t>Counts of NA</t>
  </si>
  <si>
    <t>Social-Demography</t>
  </si>
  <si>
    <t>Macroeconomic</t>
  </si>
  <si>
    <t>Trade &amp; Investment</t>
  </si>
  <si>
    <t>Connectivity &amp; Environment</t>
  </si>
  <si>
    <t>ACSS Open Data Score</t>
  </si>
  <si>
    <t>ASEAN Member States</t>
  </si>
  <si>
    <t>Sections</t>
  </si>
  <si>
    <t>Coverage</t>
  </si>
  <si>
    <t>Opennes</t>
  </si>
  <si>
    <t>Overall Score</t>
  </si>
  <si>
    <t>Max Score</t>
  </si>
  <si>
    <t>Actual Score</t>
  </si>
  <si>
    <t>Sub Score</t>
  </si>
  <si>
    <t>(A) Social-Demography</t>
  </si>
  <si>
    <t>(B) Macroeconomic</t>
  </si>
  <si>
    <t>(C) Trade &amp; Investment</t>
  </si>
  <si>
    <t>(D) Connectivity &amp; Environment</t>
  </si>
  <si>
    <t>Weighted Score</t>
  </si>
  <si>
    <t>Coverage weighted sub score:</t>
  </si>
  <si>
    <t>Opennes weighted sub score:</t>
  </si>
  <si>
    <t>Max coverage score = number of indicator and disaggregation * 3</t>
  </si>
  <si>
    <t>Max openness score = number of indicator and disaggregation * 5</t>
  </si>
  <si>
    <t>Coverage Scoring Guidelines</t>
  </si>
  <si>
    <t>C1 - Disaggregation</t>
  </si>
  <si>
    <t>Point</t>
  </si>
  <si>
    <t>Condition</t>
  </si>
  <si>
    <t xml:space="preserve">Notes </t>
  </si>
  <si>
    <t>if the published data and its required disaggregation/ breakdown are available.</t>
  </si>
  <si>
    <t>Indicator(s) that are not applicable to the AMS will be excluded from country assessment for all elements of coverage and openness.  
E.g.,
i.Indicators with the disaggregation ‘Intra and Extra’ is applicable to ASEANStats only.  AMSs will not be assessed for these indicators for all elements of Coverage and Openness.
ii.‘Proportion of Population Living below National Poverty Line’ is not applicable to Brunei Darussalam and Singapore and will not be assessed for these indicators for all elements of Coverage and Openness.</t>
  </si>
  <si>
    <t>if the published data and its required disaggregation/ breakdown are NOT available.</t>
  </si>
  <si>
    <t>Indicator(s) that scored 0 for C1 will be awarded 0 point for all data elements of coverage and openness (i.e., C1-C3 and O1-O5)</t>
  </si>
  <si>
    <t>C2 – Availability of Data for Last 5 Years</t>
  </si>
  <si>
    <t>if the published data and its required disaggregation/ breakdown are available for at least 3 of the last 5 years.</t>
  </si>
  <si>
    <t>E.g., the 3 years must occur within 2013-2017 (or 2012/2013-2016/2017). If the indicator shows data for a non-calendar year (i.e. 2012/2013), this should be counted as one year. Overlapping years (such as 2013 and 2013/14 for a single indicator) should not be double counted.</t>
  </si>
  <si>
    <t>if the published data and its required disaggregation/ breakdown are available for 1 or 2 of the last 5 years.</t>
  </si>
  <si>
    <t>E.g., the 1-2 years must occur within 2013-2017 (or 2012/2013-2016/2017).  If the indicator shows data for a non-calendar year (i.e. 2013/2014), this should be counted as one year.</t>
  </si>
  <si>
    <t>C3 – Availability of Data for Last 10 Years</t>
  </si>
  <si>
    <t>if the published data and its required disaggregation/ breakdown are available for at least 6 of the last 10 years.</t>
  </si>
  <si>
    <t>E.g., the 6 years must occur within 2008-2017 (or 2007/2008-2016/2017). If the indicator shows data for a non-calendar year (i.e. 2013/2014), this should be counted as one year. Overlapping years (2013 and 2013/14) should not be double counted.</t>
  </si>
  <si>
    <t>if the published data and its required disaggregation/ breakdown are available for 3 to 5 of the last 10 years.</t>
  </si>
  <si>
    <t>E.g., the 3-5 years must occur within 2007-2016 (or 2007/2008-2016/2017). If the indicator shows data for a non-calendar year (i.e. 2013/2014), this should be counted as one year. Overlapping years (2013 and 2013/14) should not be double counted.</t>
  </si>
  <si>
    <t xml:space="preserve">if the published data and its required disaggregation/ breakdown are available for 2 or fewer of the last 10 years.
</t>
  </si>
  <si>
    <t>Openness Scoring Guidelines</t>
  </si>
  <si>
    <t>O1 – Machine Readability</t>
  </si>
  <si>
    <t>if the published data and its required disaggregation/ breakdown are available in machine readable format (such as XLSX, CSV, TXT,  JSON and XML).</t>
  </si>
  <si>
    <t>PDF document containing tables of data are not machine-readable because a computer would struggle to access the tabular information. The equivalent tables in a format such as a spreadsheet would be machine readable. As another example scans (photographs) of text are not machine-readable but the equivalent text in a format such as a simple ASCII text file can machine readable and processable.
If published data are available in both machine readable and non-machine readable formats, a full point should be awarded for machine readability</t>
  </si>
  <si>
    <t>if all published data and its required disaggregation/ breakdown are not available in machine-readable format.</t>
  </si>
  <si>
    <t>O2 – Non-Proprietary</t>
  </si>
  <si>
    <t>if the published data and its required disaggregation/ breakdown are available in  non-proprietary format (such as XLSX, CSV, XML, TXT and JSON).</t>
  </si>
  <si>
    <t xml:space="preserve">XLS, Stata, SAS, SPSS, DOC and PPT files are proprietary.
If published data are available in both proprietary and non-proprietary formats, a full point would be awarded. 
</t>
  </si>
  <si>
    <t>if the published data and its required disaggregation/ breakdown are not available in non-proprietary format</t>
  </si>
  <si>
    <t>A zero point is only given if no data in a data category is available in this format or if all data files are compressed in RAR format. ZIP compression is non-proprietary and does not affect score.</t>
  </si>
  <si>
    <t>O3 – Download Options</t>
  </si>
  <si>
    <t>if the website containing the published data and its required disaggregation/ breakdown has a bulk download option AND an API or user-selectable download option.</t>
  </si>
  <si>
    <t>Assessment is based on the ability to bulk download on the NSO’s website or line ministries’ website (linked from NSO’s website).</t>
  </si>
  <si>
    <t>if the website containing the published data and its required disaggregation/ breakdown has an API, bulk download, or user-selectable download options.</t>
  </si>
  <si>
    <t>if the website containing the published data and its required disaggregation/ breakdown does not have any API, bulk download, or user-selectable download options.</t>
  </si>
  <si>
    <t>O4 – Metadata Availability</t>
  </si>
  <si>
    <t>if the published data and its required disaggregation/ breakdown has all metadata fields.</t>
  </si>
  <si>
    <t>Full point if metadata contains all of the following fields in line with the Concept Note on ACSS Open Data Initiative on Statistics adopted at ACSS8.
a.definition; 
b.frequency;
c.unit of measure;
d.level of disaggregation;
e.data source;
f.availability (start &amp; end periods);
g.URL for direct access to data series/ statistical table;
h.formats for download; and
i.URL to terms of use
Metadata may be included in the same file as data or it can be included elsewhere on the NSO website (this may happen if data are in a regularly published report, survey, or census).</t>
  </si>
  <si>
    <t>if the published data and its required disaggregation/ breakdown has at least 5 of the metadata fields.</t>
  </si>
  <si>
    <t>Half a point if metadata contains at least 5 of the fields a to i as listed above.</t>
  </si>
  <si>
    <t>if the published data and its required disaggregation/ breakdown has 4 or less of the metadata fields.</t>
  </si>
  <si>
    <t>O5 – Term of Use</t>
  </si>
  <si>
    <t>if the website containing the published data and its required disaggregation/ breakdown has a terms of use classified as open.</t>
  </si>
  <si>
    <t>AMSs may refer to the ODIN’s Terms of Use score for their respective website.  Full point if their website TOUs is considered “Fully Open”.</t>
  </si>
  <si>
    <t>if the website containing the published data and its required disaggregation/ breakdown has a terms of use classified as semi-restrictive.</t>
  </si>
  <si>
    <t>AMSs may refer to the ODIN’s Terms of Use score for their respective website.  Half a point if their website TOUs is considered “Semi-restrictive”.</t>
  </si>
  <si>
    <t>if the website containing the published data and its required disaggregation/ breakdown has a terms of use classified as restrictive or does not have any terms of use.</t>
  </si>
  <si>
    <t>AMSs may refer to the ODIN’s Terms of Use score for their respective website.   Zero point if their website TOUs is considered “Restrictive”.</t>
  </si>
  <si>
    <t xml:space="preserve">Not Available </t>
  </si>
  <si>
    <t xml:space="preserve">Not applicable </t>
  </si>
  <si>
    <t xml:space="preserve">Machine Readability </t>
  </si>
  <si>
    <t xml:space="preserve">Non-Proprietary </t>
  </si>
  <si>
    <t>Download Options</t>
  </si>
  <si>
    <t xml:space="preserve">Metadata Availability </t>
  </si>
  <si>
    <t>Terms of Use</t>
  </si>
  <si>
    <t>Code</t>
  </si>
  <si>
    <t>SO.POV.POV.001</t>
  </si>
  <si>
    <t>SO.POV.POV.002</t>
  </si>
  <si>
    <t>SO.POV.IND.003</t>
  </si>
  <si>
    <t>SO.POV.GIN.000</t>
  </si>
  <si>
    <t>SO.POP.POP.001</t>
  </si>
  <si>
    <t>SO.POP.POP.002</t>
  </si>
  <si>
    <t>SO.POP.POP.004</t>
  </si>
  <si>
    <t>SO.POP.POP.005</t>
  </si>
  <si>
    <t>SO.POP.PGR.000</t>
  </si>
  <si>
    <t>SO.POP.PPD.000</t>
  </si>
  <si>
    <t>SO.HEW.TFR.000</t>
  </si>
  <si>
    <t>SO.HEW.LEB.000</t>
  </si>
  <si>
    <t>SO.HEW.MR1.000</t>
  </si>
  <si>
    <t>SO.HEW.MR5.000</t>
  </si>
  <si>
    <t>SO.HEW.MR0.000</t>
  </si>
  <si>
    <t>SO.HEO.STN.000</t>
  </si>
  <si>
    <t>SO.HEO.DIR.006</t>
  </si>
  <si>
    <t>SO.HEO.DIR.007</t>
  </si>
  <si>
    <t>SO.HEO.DIR.008</t>
  </si>
  <si>
    <t>SO.EDU.ENR.001</t>
  </si>
  <si>
    <t>SO.EDU.ENR.002</t>
  </si>
  <si>
    <t>SO.EDU.ENR.009</t>
  </si>
  <si>
    <t>SO.EDU.ALR.001</t>
  </si>
  <si>
    <t>SO.EDU.ALR.002</t>
  </si>
  <si>
    <t>SO.LAB.UIR.001</t>
  </si>
  <si>
    <t>SO.LAB.UIR.002</t>
  </si>
  <si>
    <t>SO.LAB.UIR.010</t>
  </si>
  <si>
    <t>SO.LAB.PSW.001</t>
  </si>
  <si>
    <t>SO.LAB.PSW.002</t>
  </si>
  <si>
    <t>SO.LAB.PSW.004</t>
  </si>
  <si>
    <t>SO.GEE.GCP.011</t>
  </si>
  <si>
    <t>SO.GEE.GCP.012</t>
  </si>
  <si>
    <t>MA.GDP.FFR.001</t>
  </si>
  <si>
    <t>MA.GDP.FFR.013</t>
  </si>
  <si>
    <t>MA.GDP.GPP.000</t>
  </si>
  <si>
    <t>MA.GDP.GRR.000</t>
  </si>
  <si>
    <t>MA.GDP.GWR.000</t>
  </si>
  <si>
    <t>MA.MNF.MNF.000</t>
  </si>
  <si>
    <t>MA.MNF.MNF.015</t>
  </si>
  <si>
    <t>MA.MNF.MNF.016</t>
  </si>
  <si>
    <t>MA.PRC.CPI.001</t>
  </si>
  <si>
    <t>MA.PRC.CPI.017</t>
  </si>
  <si>
    <t>MA.PRC.PPI.000</t>
  </si>
  <si>
    <t>MA.PRC.IIP.000</t>
  </si>
  <si>
    <t>MA.PUF.GVF.018</t>
  </si>
  <si>
    <t>MA.PUF.GVF.019</t>
  </si>
  <si>
    <t>TI.TIG.TIG.020</t>
  </si>
  <si>
    <t>TI.TIG.TIG.021</t>
  </si>
  <si>
    <t>TI.TIG.TIG.022</t>
  </si>
  <si>
    <t>TI.TIG.TIG.023</t>
  </si>
  <si>
    <t>TI.TIG.TIG.024</t>
  </si>
  <si>
    <t>TI.TIS.TIS.001</t>
  </si>
  <si>
    <t>TI.TIS.TIS.025</t>
  </si>
  <si>
    <t>TI.TIS.TIS.026</t>
  </si>
  <si>
    <t>TI.TIS.TIS.027</t>
  </si>
  <si>
    <t>TI.TIS.TIS.028</t>
  </si>
  <si>
    <t>TI.TIS.TIS.029</t>
  </si>
  <si>
    <t>TI.INV.FDI.001</t>
  </si>
  <si>
    <t>TI.INV.FDI.030</t>
  </si>
  <si>
    <t>TI.INV.FDI.031</t>
  </si>
  <si>
    <t>TI.INV.FDI.032</t>
  </si>
  <si>
    <t>CN.TRS.TOA.001</t>
  </si>
  <si>
    <t>CN.TRS.TOA.033</t>
  </si>
  <si>
    <t>CN.TRS.TOA.034</t>
  </si>
  <si>
    <t>CN.TRP.PST.035</t>
  </si>
  <si>
    <t>CN.TRP.FRV.035</t>
  </si>
  <si>
    <t>CN.TRP.DRR.000</t>
  </si>
  <si>
    <t>CN.COM.INT.000</t>
  </si>
  <si>
    <t>CN.COM.BRO.000</t>
  </si>
  <si>
    <t>CN.COM.PPM.000</t>
  </si>
  <si>
    <t>CN.ACW.PPS.000</t>
  </si>
  <si>
    <t>CN.ACW.PAI.000</t>
  </si>
  <si>
    <t>CN.ACW.PPE.000</t>
  </si>
  <si>
    <t>CN.EAP.AML.000</t>
  </si>
  <si>
    <t>CN.NAD.PDA.000</t>
  </si>
  <si>
    <t>CN.RUS.CPA.000</t>
  </si>
  <si>
    <t>CN.RUS.FAP.000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</si>
</sst>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0_);_(* \(#,##0.0\);_(* &quot;-&quot;??_);_(@_)"/>
    <numFmt numFmtId="166" formatCode="_-* #,##0.0_-;\-* #,##0.0_-;_-* &quot;-&quot;?_-;_-@_-"/>
  </numFmts>
  <fonts count="37" x14ac:knownFonts="1">
    <font>
      <sz val="11"/>
      <color theme="1"/>
      <name val="Calibri"/>
      <family val="2"/>
      <scheme val="minor"/>
    </font>
    <font>
      <sz val="10"/>
      <color rgb="FF000000"/>
      <name val="Times New Roman"/>
      <family val="1"/>
    </font>
    <font>
      <b/>
      <sz val="12"/>
      <name val="Calibri"/>
      <family val="2"/>
      <scheme val="minor"/>
    </font>
    <font>
      <sz val="12"/>
      <color theme="1"/>
      <name val="Calibri"/>
      <family val="2"/>
      <scheme val="minor"/>
    </font>
    <font>
      <sz val="12"/>
      <name val="Calibri"/>
      <family val="2"/>
      <scheme val="minor"/>
    </font>
    <font>
      <sz val="12"/>
      <color rgb="FF0000FF"/>
      <name val="Calibri"/>
      <family val="2"/>
      <scheme val="minor"/>
    </font>
    <font>
      <sz val="12"/>
      <color rgb="FF000000"/>
      <name val="Calibri"/>
      <family val="2"/>
      <scheme val="minor"/>
    </font>
    <font>
      <sz val="11"/>
      <name val="Arial"/>
      <family val="2"/>
    </font>
    <font>
      <sz val="12"/>
      <name val="Arial"/>
      <family val="2"/>
    </font>
    <font>
      <b/>
      <sz val="26"/>
      <color rgb="FF226C9E"/>
      <name val="Calibri"/>
      <family val="2"/>
      <scheme val="minor"/>
    </font>
    <font>
      <b/>
      <sz val="18"/>
      <color rgb="FF226C9E"/>
      <name val="Calibri"/>
      <family val="2"/>
      <scheme val="minor"/>
    </font>
    <font>
      <sz val="16"/>
      <color theme="1"/>
      <name val="Calibri"/>
      <family val="2"/>
      <scheme val="minor"/>
    </font>
    <font>
      <b/>
      <sz val="16"/>
      <color rgb="FF000000"/>
      <name val="Calibri"/>
      <family val="2"/>
      <scheme val="minor"/>
    </font>
    <font>
      <b/>
      <sz val="12"/>
      <color rgb="FFFFFFFF"/>
      <name val="Calibri"/>
      <family val="2"/>
    </font>
    <font>
      <b/>
      <sz val="12"/>
      <color rgb="FFFF0000"/>
      <name val="Calibri"/>
      <family val="2"/>
    </font>
    <font>
      <sz val="12"/>
      <color rgb="FF000000"/>
      <name val="Calibri"/>
      <family val="2"/>
    </font>
    <font>
      <u/>
      <sz val="11"/>
      <color theme="10"/>
      <name val="Calibri"/>
      <family val="2"/>
      <scheme val="minor"/>
    </font>
    <font>
      <b/>
      <sz val="11"/>
      <color rgb="FFFF0000"/>
      <name val="Calibri"/>
      <family val="2"/>
    </font>
    <font>
      <sz val="11"/>
      <color rgb="FF000000"/>
      <name val="Calibri"/>
      <family val="2"/>
    </font>
    <font>
      <sz val="8"/>
      <color theme="1"/>
      <name val="Calibri"/>
      <family val="2"/>
      <scheme val="minor"/>
    </font>
    <font>
      <b/>
      <sz val="16"/>
      <color theme="1"/>
      <name val="Calibri"/>
      <family val="2"/>
      <scheme val="minor"/>
    </font>
    <font>
      <b/>
      <sz val="28"/>
      <color theme="7"/>
      <name val="Calibri"/>
      <family val="2"/>
      <scheme val="minor"/>
    </font>
    <font>
      <sz val="8"/>
      <name val="Calibri"/>
      <family val="2"/>
      <scheme val="minor"/>
    </font>
    <font>
      <sz val="11"/>
      <color theme="1"/>
      <name val="Calibri"/>
      <family val="2"/>
      <scheme val="minor"/>
    </font>
    <font>
      <b/>
      <sz val="12"/>
      <color rgb="FFFF0000"/>
      <name val="Calibri"/>
      <family val="2"/>
      <scheme val="minor"/>
    </font>
    <font>
      <b/>
      <sz val="12"/>
      <color theme="1"/>
      <name val="Calibri"/>
      <family val="2"/>
      <scheme val="minor"/>
    </font>
    <font>
      <b/>
      <sz val="14"/>
      <color theme="1"/>
      <name val="Calibri"/>
      <family val="2"/>
      <scheme val="minor"/>
    </font>
    <font>
      <sz val="10"/>
      <name val="Arial"/>
      <family val="2"/>
    </font>
    <font>
      <b/>
      <sz val="18"/>
      <color theme="1"/>
      <name val="Calibri"/>
      <family val="2"/>
      <scheme val="minor"/>
    </font>
    <font>
      <b/>
      <sz val="12"/>
      <color rgb="FF00B0F0"/>
      <name val="Calibri"/>
      <family val="2"/>
      <scheme val="minor"/>
    </font>
    <font>
      <b/>
      <sz val="13"/>
      <color theme="1"/>
      <name val="Calibri"/>
      <family val="2"/>
      <scheme val="minor"/>
    </font>
    <font>
      <sz val="18"/>
      <color theme="1"/>
      <name val="Calibri"/>
      <family val="2"/>
      <scheme val="minor"/>
    </font>
    <font>
      <sz val="12"/>
      <color rgb="FFFFFFFF"/>
      <name val="Calibri"/>
      <family val="2"/>
    </font>
    <font>
      <sz val="12"/>
      <color theme="1"/>
      <name val="Calibri"/>
      <family val="2"/>
    </font>
    <font>
      <sz val="11"/>
      <color theme="1"/>
      <name val="Calibri"/>
      <family val="2"/>
    </font>
    <font>
      <i/>
      <sz val="12"/>
      <color rgb="FF0000FF"/>
      <name val="Calibri"/>
      <family val="2"/>
      <scheme val="minor"/>
    </font>
    <font>
      <b/>
      <sz val="13"/>
      <color rgb="FFFF0000"/>
      <name val="Calibri"/>
      <family val="2"/>
      <scheme val="minor"/>
    </font>
  </fonts>
  <fills count="13">
    <fill>
      <patternFill patternType="none"/>
    </fill>
    <fill>
      <patternFill patternType="gray125"/>
    </fill>
    <fill>
      <patternFill patternType="solid">
        <fgColor rgb="FFA6A6A6"/>
      </patternFill>
    </fill>
    <fill>
      <patternFill patternType="solid">
        <fgColor theme="7" tint="0.79998168889431442"/>
        <bgColor indexed="64"/>
      </patternFill>
    </fill>
    <fill>
      <patternFill patternType="solid">
        <fgColor rgb="FF9BBB59"/>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theme="2"/>
        <bgColor indexed="64"/>
      </patternFill>
    </fill>
  </fills>
  <borders count="29">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top style="thin">
        <color rgb="FF98B954"/>
      </top>
      <bottom/>
      <diagonal/>
    </border>
    <border>
      <left style="thin">
        <color rgb="FF92D050"/>
      </left>
      <right/>
      <top style="thin">
        <color rgb="FF92D050"/>
      </top>
      <bottom style="thin">
        <color rgb="FF98B954"/>
      </bottom>
      <diagonal/>
    </border>
    <border>
      <left/>
      <right/>
      <top style="thin">
        <color rgb="FF92D050"/>
      </top>
      <bottom style="thin">
        <color rgb="FF98B954"/>
      </bottom>
      <diagonal/>
    </border>
    <border>
      <left/>
      <right style="thin">
        <color rgb="FF92D050"/>
      </right>
      <top style="thin">
        <color rgb="FF92D050"/>
      </top>
      <bottom style="thin">
        <color rgb="FF98B954"/>
      </bottom>
      <diagonal/>
    </border>
    <border>
      <left style="thin">
        <color rgb="FF92D050"/>
      </left>
      <right/>
      <top style="thin">
        <color rgb="FF98B954"/>
      </top>
      <bottom/>
      <diagonal/>
    </border>
    <border>
      <left/>
      <right style="thin">
        <color rgb="FF92D050"/>
      </right>
      <top style="thin">
        <color rgb="FF98B954"/>
      </top>
      <bottom/>
      <diagonal/>
    </border>
    <border>
      <left style="thin">
        <color rgb="FF92D050"/>
      </left>
      <right/>
      <top style="thin">
        <color rgb="FF98B954"/>
      </top>
      <bottom style="thin">
        <color rgb="FF92D050"/>
      </bottom>
      <diagonal/>
    </border>
    <border>
      <left/>
      <right/>
      <top style="thin">
        <color rgb="FF98B954"/>
      </top>
      <bottom style="thin">
        <color rgb="FF92D050"/>
      </bottom>
      <diagonal/>
    </border>
    <border>
      <left/>
      <right style="thin">
        <color rgb="FF92D050"/>
      </right>
      <top style="thin">
        <color rgb="FF98B954"/>
      </top>
      <bottom style="thin">
        <color rgb="FF92D050"/>
      </bottom>
      <diagonal/>
    </border>
    <border>
      <left/>
      <right/>
      <top/>
      <bottom style="thin">
        <color rgb="FF92D050"/>
      </bottom>
      <diagonal/>
    </border>
    <border>
      <left style="thin">
        <color theme="1" tint="0.499984740745262"/>
      </left>
      <right style="thin">
        <color theme="1" tint="0.499984740745262"/>
      </right>
      <top style="thin">
        <color theme="1" tint="0.499984740745262"/>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1" tint="0.499984740745262"/>
      </left>
      <right style="thin">
        <color theme="1" tint="0.499984740745262"/>
      </right>
      <top style="thin">
        <color theme="1" tint="0.499984740745262"/>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right style="thin">
        <color theme="1" tint="0.499984740745262"/>
      </right>
      <top/>
      <bottom/>
      <diagonal/>
    </border>
  </borders>
  <cellStyleXfs count="5">
    <xf numFmtId="0" fontId="0" fillId="0" borderId="0"/>
    <xf numFmtId="0" fontId="1" fillId="0" borderId="0"/>
    <xf numFmtId="0" fontId="1" fillId="0" borderId="0"/>
    <xf numFmtId="0" fontId="16" fillId="0" borderId="0" applyNumberFormat="0" applyFill="0" applyBorder="0" applyAlignment="0" applyProtection="0"/>
    <xf numFmtId="43" fontId="23" fillId="0" borderId="0" applyFont="0" applyFill="0" applyBorder="0" applyAlignment="0" applyProtection="0"/>
  </cellStyleXfs>
  <cellXfs count="121">
    <xf numFmtId="0" fontId="0" fillId="0" borderId="0" xfId="0"/>
    <xf numFmtId="0" fontId="6" fillId="2" borderId="1" xfId="1" applyFont="1" applyFill="1" applyBorder="1" applyAlignment="1">
      <alignment horizontal="left" vertical="center" wrapText="1"/>
    </xf>
    <xf numFmtId="0" fontId="6" fillId="0" borderId="1" xfId="1" applyFont="1" applyBorder="1" applyAlignment="1">
      <alignment horizontal="left" vertical="center" wrapText="1"/>
    </xf>
    <xf numFmtId="0" fontId="12" fillId="0" borderId="0" xfId="0" applyFont="1" applyAlignment="1">
      <alignment horizontal="left" vertical="center" readingOrder="1"/>
    </xf>
    <xf numFmtId="0" fontId="3" fillId="0" borderId="0" xfId="0" applyFont="1"/>
    <xf numFmtId="0" fontId="10" fillId="0" borderId="0" xfId="0" applyFont="1" applyAlignment="1">
      <alignment horizontal="center" vertical="center" readingOrder="1"/>
    </xf>
    <xf numFmtId="0" fontId="2" fillId="5" borderId="1" xfId="1" applyFont="1" applyFill="1" applyBorder="1" applyAlignment="1">
      <alignment horizontal="center" vertical="center" wrapText="1"/>
    </xf>
    <xf numFmtId="0" fontId="20" fillId="6" borderId="1" xfId="0" applyFont="1" applyFill="1" applyBorder="1" applyAlignment="1">
      <alignment horizontal="center" vertical="center" wrapText="1"/>
    </xf>
    <xf numFmtId="0" fontId="11" fillId="0" borderId="1" xfId="0" applyFont="1" applyBorder="1" applyAlignment="1">
      <alignment vertical="center" wrapText="1"/>
    </xf>
    <xf numFmtId="0" fontId="20" fillId="7" borderId="1" xfId="0" applyFont="1" applyFill="1" applyBorder="1" applyAlignment="1">
      <alignment horizontal="center" vertical="center" wrapText="1"/>
    </xf>
    <xf numFmtId="0" fontId="20" fillId="0" borderId="0" xfId="0" applyFont="1"/>
    <xf numFmtId="0" fontId="3" fillId="0" borderId="1" xfId="0" applyFont="1" applyBorder="1" applyAlignment="1">
      <alignment horizontal="left" vertical="center" wrapText="1"/>
    </xf>
    <xf numFmtId="0" fontId="4" fillId="0" borderId="1" xfId="2" applyFont="1" applyBorder="1" applyAlignment="1">
      <alignment horizontal="left" vertical="center" wrapText="1"/>
    </xf>
    <xf numFmtId="0" fontId="4"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6" fillId="0" borderId="1" xfId="2" applyFont="1" applyBorder="1" applyAlignment="1">
      <alignment horizontal="left" vertical="center" wrapText="1"/>
    </xf>
    <xf numFmtId="0" fontId="6" fillId="2" borderId="1" xfId="2" applyFont="1" applyFill="1" applyBorder="1" applyAlignment="1">
      <alignment horizontal="left" vertical="center" wrapText="1"/>
    </xf>
    <xf numFmtId="0" fontId="4" fillId="0" borderId="1" xfId="1" applyFont="1" applyBorder="1" applyAlignment="1">
      <alignment horizontal="left" vertical="center" wrapText="1"/>
    </xf>
    <xf numFmtId="0" fontId="26" fillId="0" borderId="0" xfId="0" applyFont="1" applyAlignment="1">
      <alignment horizontal="right" vertical="center"/>
    </xf>
    <xf numFmtId="166" fontId="0" fillId="0" borderId="0" xfId="0" applyNumberFormat="1"/>
    <xf numFmtId="43" fontId="20" fillId="8" borderId="1" xfId="4" applyFont="1" applyFill="1" applyBorder="1" applyAlignment="1">
      <alignment vertical="center" wrapText="1"/>
    </xf>
    <xf numFmtId="0" fontId="26" fillId="0" borderId="0" xfId="0" applyFont="1" applyAlignment="1">
      <alignment horizontal="left" vertical="center"/>
    </xf>
    <xf numFmtId="0" fontId="20" fillId="8" borderId="2" xfId="0" applyFont="1" applyFill="1" applyBorder="1" applyAlignment="1">
      <alignment vertical="center" wrapText="1"/>
    </xf>
    <xf numFmtId="0" fontId="5" fillId="0" borderId="0" xfId="0" applyFont="1" applyAlignment="1">
      <alignment horizontal="left" vertical="center" readingOrder="1"/>
    </xf>
    <xf numFmtId="0" fontId="28" fillId="0" borderId="0" xfId="0" applyFont="1"/>
    <xf numFmtId="49" fontId="3" fillId="10" borderId="1" xfId="0" applyNumberFormat="1" applyFont="1" applyFill="1" applyBorder="1" applyAlignment="1">
      <alignment horizontal="left" vertical="center"/>
    </xf>
    <xf numFmtId="0" fontId="19" fillId="10" borderId="1" xfId="0" applyFont="1" applyFill="1" applyBorder="1" applyAlignment="1">
      <alignment horizontal="left" vertical="center"/>
    </xf>
    <xf numFmtId="49" fontId="3" fillId="11" borderId="1" xfId="0" applyNumberFormat="1" applyFont="1" applyFill="1" applyBorder="1" applyAlignment="1">
      <alignment horizontal="left" vertical="center"/>
    </xf>
    <xf numFmtId="164" fontId="20" fillId="8" borderId="1" xfId="0" applyNumberFormat="1" applyFont="1" applyFill="1" applyBorder="1" applyAlignment="1">
      <alignment vertical="center" wrapText="1"/>
    </xf>
    <xf numFmtId="43" fontId="11" fillId="0" borderId="1" xfId="4" applyFont="1" applyFill="1" applyBorder="1" applyAlignment="1">
      <alignment vertical="center" wrapText="1"/>
    </xf>
    <xf numFmtId="43" fontId="20" fillId="0" borderId="1" xfId="4" applyFont="1" applyFill="1" applyBorder="1" applyAlignment="1">
      <alignment vertical="center" wrapText="1"/>
    </xf>
    <xf numFmtId="0" fontId="14" fillId="0" borderId="5" xfId="0" applyFont="1" applyBorder="1" applyAlignment="1">
      <alignment horizontal="left" vertical="center" wrapText="1" readingOrder="1"/>
    </xf>
    <xf numFmtId="0" fontId="15" fillId="0" borderId="10" xfId="0" applyFont="1" applyBorder="1" applyAlignment="1">
      <alignment horizontal="left" vertical="center" wrapText="1" readingOrder="1"/>
    </xf>
    <xf numFmtId="0" fontId="18" fillId="0" borderId="10" xfId="0" applyFont="1" applyBorder="1" applyAlignment="1">
      <alignment horizontal="left" vertical="center" wrapText="1" readingOrder="1"/>
    </xf>
    <xf numFmtId="0" fontId="15" fillId="0" borderId="13" xfId="0" applyFont="1" applyBorder="1" applyAlignment="1">
      <alignment horizontal="left" vertical="center" wrapText="1" readingOrder="1"/>
    </xf>
    <xf numFmtId="0" fontId="14" fillId="0" borderId="12" xfId="0" applyFont="1" applyBorder="1" applyAlignment="1">
      <alignment horizontal="left" vertical="center" wrapText="1" readingOrder="1"/>
    </xf>
    <xf numFmtId="0" fontId="3" fillId="0" borderId="0" xfId="0" applyFont="1" applyAlignment="1">
      <alignment horizontal="center" vertical="center"/>
    </xf>
    <xf numFmtId="0" fontId="18" fillId="0" borderId="13" xfId="0" applyFont="1" applyBorder="1" applyAlignment="1">
      <alignment horizontal="left" vertical="center" wrapText="1" readingOrder="1"/>
    </xf>
    <xf numFmtId="0" fontId="10" fillId="0" borderId="0" xfId="0" applyFont="1" applyAlignment="1">
      <alignment horizontal="right" vertical="center" readingOrder="1"/>
    </xf>
    <xf numFmtId="0" fontId="14" fillId="0" borderId="9" xfId="0" applyFont="1" applyBorder="1" applyAlignment="1">
      <alignment horizontal="right" vertical="center" wrapText="1" readingOrder="1"/>
    </xf>
    <xf numFmtId="0" fontId="14" fillId="0" borderId="11" xfId="0" applyFont="1" applyBorder="1" applyAlignment="1">
      <alignment horizontal="right" vertical="center" wrapText="1" readingOrder="1"/>
    </xf>
    <xf numFmtId="0" fontId="3" fillId="0" borderId="0" xfId="0" applyFont="1" applyAlignment="1">
      <alignment horizontal="right" vertical="center"/>
    </xf>
    <xf numFmtId="0" fontId="17" fillId="0" borderId="9" xfId="0" applyFont="1" applyBorder="1" applyAlignment="1">
      <alignment horizontal="right" vertical="center" wrapText="1" readingOrder="1"/>
    </xf>
    <xf numFmtId="0" fontId="17" fillId="0" borderId="11" xfId="0" applyFont="1" applyBorder="1" applyAlignment="1">
      <alignment horizontal="right" vertical="center" wrapText="1" readingOrder="1"/>
    </xf>
    <xf numFmtId="0" fontId="33" fillId="0" borderId="5" xfId="0" applyFont="1" applyBorder="1" applyAlignment="1">
      <alignment horizontal="left" vertical="center" wrapText="1" readingOrder="1"/>
    </xf>
    <xf numFmtId="0" fontId="33" fillId="0" borderId="12" xfId="0" applyFont="1" applyBorder="1" applyAlignment="1">
      <alignment horizontal="left" vertical="center" wrapText="1" readingOrder="1"/>
    </xf>
    <xf numFmtId="0" fontId="3" fillId="0" borderId="0" xfId="0" applyFont="1" applyAlignment="1">
      <alignment horizontal="left" vertical="center" readingOrder="1"/>
    </xf>
    <xf numFmtId="0" fontId="11" fillId="0" borderId="0" xfId="0" applyFont="1" applyAlignment="1">
      <alignment horizontal="left" vertical="center" readingOrder="1"/>
    </xf>
    <xf numFmtId="0" fontId="34" fillId="0" borderId="5" xfId="0" applyFont="1" applyBorder="1" applyAlignment="1">
      <alignment horizontal="left" vertical="center" wrapText="1" readingOrder="1"/>
    </xf>
    <xf numFmtId="0" fontId="34" fillId="0" borderId="12" xfId="0" applyFont="1" applyBorder="1" applyAlignment="1">
      <alignment horizontal="left" vertical="center" wrapText="1" readingOrder="1"/>
    </xf>
    <xf numFmtId="0" fontId="32" fillId="4" borderId="8" xfId="0" applyFont="1" applyFill="1" applyBorder="1" applyAlignment="1">
      <alignment horizontal="center" vertical="center" wrapText="1" readingOrder="1"/>
    </xf>
    <xf numFmtId="0" fontId="13" fillId="4" borderId="8" xfId="0" applyFont="1" applyFill="1" applyBorder="1" applyAlignment="1">
      <alignment horizontal="center" vertical="center" wrapText="1" readingOrder="1"/>
    </xf>
    <xf numFmtId="0" fontId="31" fillId="0" borderId="0" xfId="0" applyFont="1" applyAlignment="1">
      <alignment horizontal="left" vertical="center" readingOrder="1"/>
    </xf>
    <xf numFmtId="0" fontId="10" fillId="0" borderId="0" xfId="0" applyFont="1" applyAlignment="1">
      <alignment horizontal="left" vertical="center" readingOrder="1"/>
    </xf>
    <xf numFmtId="0" fontId="8" fillId="0" borderId="13" xfId="0" applyFont="1" applyBorder="1" applyAlignment="1">
      <alignment horizontal="left" vertical="center" wrapText="1"/>
    </xf>
    <xf numFmtId="0" fontId="3" fillId="0" borderId="0" xfId="0" applyFont="1" applyAlignment="1">
      <alignment horizontal="left" vertical="center"/>
    </xf>
    <xf numFmtId="0" fontId="7" fillId="0" borderId="13" xfId="0" applyFont="1" applyBorder="1" applyAlignment="1">
      <alignment horizontal="left" vertical="center" wrapText="1"/>
    </xf>
    <xf numFmtId="0" fontId="27" fillId="0" borderId="13" xfId="0" applyFont="1" applyBorder="1" applyAlignment="1">
      <alignment horizontal="left" vertical="center" wrapText="1"/>
    </xf>
    <xf numFmtId="0" fontId="35" fillId="0" borderId="0" xfId="0" applyFont="1" applyAlignment="1">
      <alignment horizontal="left" vertical="center" readingOrder="1"/>
    </xf>
    <xf numFmtId="0" fontId="3" fillId="9" borderId="1" xfId="4" applyNumberFormat="1" applyFont="1" applyFill="1" applyBorder="1" applyAlignment="1">
      <alignment horizontal="right" vertical="center"/>
    </xf>
    <xf numFmtId="0" fontId="16" fillId="3" borderId="1" xfId="3" applyFill="1" applyBorder="1" applyAlignment="1">
      <alignment horizontal="center" vertical="center" wrapText="1"/>
    </xf>
    <xf numFmtId="0" fontId="3" fillId="9" borderId="1" xfId="0" applyFont="1" applyFill="1" applyBorder="1" applyAlignment="1">
      <alignment horizontal="right" vertical="center"/>
    </xf>
    <xf numFmtId="0" fontId="3" fillId="10" borderId="1" xfId="4" applyNumberFormat="1" applyFont="1" applyFill="1" applyBorder="1" applyAlignment="1">
      <alignment horizontal="right" vertical="center"/>
    </xf>
    <xf numFmtId="0" fontId="6" fillId="0" borderId="15" xfId="2" applyFont="1" applyBorder="1" applyAlignment="1">
      <alignment horizontal="left" vertical="center" wrapText="1"/>
    </xf>
    <xf numFmtId="0" fontId="4" fillId="0" borderId="15" xfId="0" applyFont="1" applyBorder="1" applyAlignment="1">
      <alignment horizontal="left" vertical="center" wrapText="1"/>
    </xf>
    <xf numFmtId="0" fontId="3" fillId="0" borderId="15" xfId="0" applyFont="1" applyBorder="1" applyAlignment="1">
      <alignment horizontal="left" vertical="center" wrapText="1"/>
    </xf>
    <xf numFmtId="0" fontId="3" fillId="2" borderId="15" xfId="0" applyFont="1" applyFill="1" applyBorder="1" applyAlignment="1">
      <alignment horizontal="left" vertical="center" wrapText="1"/>
    </xf>
    <xf numFmtId="0" fontId="6" fillId="2" borderId="15" xfId="2" applyFont="1" applyFill="1" applyBorder="1" applyAlignment="1">
      <alignment horizontal="left" vertical="center" wrapText="1"/>
    </xf>
    <xf numFmtId="165" fontId="26" fillId="0" borderId="0" xfId="0" applyNumberFormat="1" applyFont="1" applyAlignment="1">
      <alignment horizontal="right" vertical="center"/>
    </xf>
    <xf numFmtId="0" fontId="26" fillId="9" borderId="20" xfId="0" applyFont="1" applyFill="1" applyBorder="1" applyAlignment="1">
      <alignment horizontal="right" vertical="center"/>
    </xf>
    <xf numFmtId="0" fontId="4" fillId="0" borderId="15" xfId="2" applyFont="1" applyBorder="1" applyAlignment="1">
      <alignment horizontal="left" vertical="center" wrapText="1"/>
    </xf>
    <xf numFmtId="0" fontId="0" fillId="0" borderId="21" xfId="0" applyBorder="1" applyAlignment="1">
      <alignment wrapText="1"/>
    </xf>
    <xf numFmtId="0" fontId="0" fillId="0" borderId="21" xfId="0" applyBorder="1"/>
    <xf numFmtId="0" fontId="3" fillId="0" borderId="17" xfId="0" applyFont="1" applyBorder="1" applyAlignment="1">
      <alignment horizontal="left"/>
    </xf>
    <xf numFmtId="0" fontId="3" fillId="0" borderId="19" xfId="0" applyFont="1" applyBorder="1" applyAlignment="1">
      <alignment horizontal="left"/>
    </xf>
    <xf numFmtId="0" fontId="3" fillId="12" borderId="25" xfId="0" applyFont="1" applyFill="1" applyBorder="1" applyAlignment="1">
      <alignment horizontal="left"/>
    </xf>
    <xf numFmtId="0" fontId="25" fillId="9" borderId="1" xfId="4" applyNumberFormat="1" applyFont="1" applyFill="1" applyBorder="1" applyAlignment="1">
      <alignment horizontal="right" vertical="center"/>
    </xf>
    <xf numFmtId="0" fontId="17" fillId="0" borderId="0" xfId="0" applyFont="1" applyAlignment="1">
      <alignment horizontal="right" vertical="center" wrapText="1" readingOrder="1"/>
    </xf>
    <xf numFmtId="0" fontId="14" fillId="0" borderId="0" xfId="0" applyFont="1" applyAlignment="1">
      <alignment horizontal="left" vertical="center" wrapText="1" readingOrder="1"/>
    </xf>
    <xf numFmtId="0" fontId="34" fillId="0" borderId="0" xfId="0" applyFont="1" applyAlignment="1">
      <alignment horizontal="left" vertical="center" wrapText="1" readingOrder="1"/>
    </xf>
    <xf numFmtId="0" fontId="7" fillId="0" borderId="0" xfId="0" applyFont="1" applyAlignment="1">
      <alignment horizontal="left" vertical="center" wrapText="1"/>
    </xf>
    <xf numFmtId="0" fontId="17" fillId="0" borderId="5" xfId="0" applyFont="1" applyBorder="1" applyAlignment="1">
      <alignment horizontal="right" vertical="center" wrapText="1" readingOrder="1"/>
    </xf>
    <xf numFmtId="0" fontId="7" fillId="0" borderId="5" xfId="0" applyFont="1" applyBorder="1" applyAlignment="1">
      <alignment horizontal="left" vertical="center" wrapText="1"/>
    </xf>
    <xf numFmtId="0" fontId="3" fillId="11" borderId="1" xfId="4" applyNumberFormat="1" applyFont="1" applyFill="1" applyBorder="1" applyAlignment="1">
      <alignment horizontal="right" vertical="center"/>
    </xf>
    <xf numFmtId="0" fontId="3" fillId="11" borderId="1" xfId="0" applyFont="1" applyFill="1" applyBorder="1" applyAlignment="1">
      <alignment horizontal="left" vertical="center"/>
    </xf>
    <xf numFmtId="0" fontId="3" fillId="0" borderId="1" xfId="2" applyFont="1" applyBorder="1" applyAlignment="1">
      <alignment horizontal="left" vertical="center" wrapText="1"/>
    </xf>
    <xf numFmtId="0" fontId="4" fillId="0" borderId="15" xfId="0" applyFont="1" applyBorder="1" applyAlignment="1">
      <alignment horizontal="left" vertical="center" wrapText="1"/>
    </xf>
    <xf numFmtId="0" fontId="4" fillId="0" borderId="26" xfId="0" applyFont="1" applyBorder="1" applyAlignment="1">
      <alignment horizontal="left" vertical="center" wrapText="1"/>
    </xf>
    <xf numFmtId="0" fontId="3" fillId="0" borderId="15" xfId="0" applyFont="1" applyBorder="1" applyAlignment="1">
      <alignment horizontal="left" vertical="center" wrapText="1"/>
    </xf>
    <xf numFmtId="0" fontId="3" fillId="0" borderId="27" xfId="0" applyFont="1" applyBorder="1" applyAlignment="1">
      <alignment horizontal="left" vertical="center" wrapText="1"/>
    </xf>
    <xf numFmtId="0" fontId="3" fillId="0" borderId="26" xfId="0" applyFont="1" applyBorder="1" applyAlignment="1">
      <alignment horizontal="left" vertical="center" wrapText="1"/>
    </xf>
    <xf numFmtId="0" fontId="26" fillId="9" borderId="20" xfId="0" applyFont="1" applyFill="1" applyBorder="1" applyAlignment="1">
      <alignment horizontal="right" vertical="center"/>
    </xf>
    <xf numFmtId="0" fontId="26" fillId="0" borderId="0" xfId="0" applyFont="1" applyAlignment="1">
      <alignment horizontal="right" vertical="center"/>
    </xf>
    <xf numFmtId="0" fontId="16" fillId="3" borderId="1" xfId="3" applyFill="1" applyBorder="1" applyAlignment="1">
      <alignment horizontal="center" vertical="center" wrapText="1"/>
    </xf>
    <xf numFmtId="0" fontId="2" fillId="3" borderId="1" xfId="1" applyFont="1" applyFill="1" applyBorder="1" applyAlignment="1">
      <alignment horizontal="center" vertical="center" wrapText="1"/>
    </xf>
    <xf numFmtId="0" fontId="4" fillId="0" borderId="1" xfId="1" applyFont="1" applyBorder="1" applyAlignment="1">
      <alignment horizontal="left" vertical="center" wrapText="1"/>
    </xf>
    <xf numFmtId="0" fontId="6" fillId="0" borderId="1" xfId="2" applyFont="1" applyBorder="1" applyAlignment="1">
      <alignment horizontal="left" vertical="center" wrapText="1"/>
    </xf>
    <xf numFmtId="0" fontId="6" fillId="0" borderId="1" xfId="1" applyFont="1" applyBorder="1" applyAlignment="1">
      <alignment horizontal="left" vertical="center" wrapText="1"/>
    </xf>
    <xf numFmtId="0" fontId="36" fillId="10" borderId="4" xfId="0" applyFont="1" applyFill="1" applyBorder="1" applyAlignment="1">
      <alignment horizontal="left" vertical="center" wrapText="1"/>
    </xf>
    <xf numFmtId="0" fontId="36" fillId="10" borderId="4" xfId="0" applyFont="1" applyFill="1" applyBorder="1" applyAlignment="1">
      <alignment horizontal="left" vertical="center"/>
    </xf>
    <xf numFmtId="0" fontId="4" fillId="0" borderId="1" xfId="2"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12" borderId="23" xfId="0" applyFont="1" applyFill="1" applyBorder="1" applyAlignment="1">
      <alignment horizontal="center"/>
    </xf>
    <xf numFmtId="0" fontId="3" fillId="12" borderId="24" xfId="0" applyFont="1" applyFill="1" applyBorder="1" applyAlignment="1">
      <alignment horizontal="center"/>
    </xf>
    <xf numFmtId="0" fontId="3" fillId="0" borderId="16" xfId="0" applyFont="1" applyBorder="1" applyAlignment="1">
      <alignment horizontal="left" vertical="center"/>
    </xf>
    <xf numFmtId="0" fontId="3" fillId="0" borderId="0" xfId="0" applyFont="1" applyAlignment="1">
      <alignment horizontal="left" vertical="center"/>
    </xf>
    <xf numFmtId="0" fontId="3" fillId="0" borderId="18" xfId="0" applyFont="1" applyBorder="1" applyAlignment="1">
      <alignment horizontal="left" vertical="center"/>
    </xf>
    <xf numFmtId="0" fontId="3" fillId="0" borderId="22" xfId="0" applyFont="1" applyBorder="1" applyAlignment="1">
      <alignment horizontal="left" vertical="center"/>
    </xf>
    <xf numFmtId="0" fontId="30" fillId="8" borderId="2" xfId="0" applyFont="1" applyFill="1" applyBorder="1" applyAlignment="1">
      <alignment horizontal="right" vertical="center" wrapText="1"/>
    </xf>
    <xf numFmtId="0" fontId="30" fillId="8" borderId="3" xfId="0" applyFont="1" applyFill="1" applyBorder="1" applyAlignment="1">
      <alignment horizontal="right" vertical="center" wrapText="1"/>
    </xf>
    <xf numFmtId="0" fontId="21" fillId="0" borderId="0" xfId="0" applyFont="1" applyAlignment="1">
      <alignment horizontal="center"/>
    </xf>
    <xf numFmtId="0" fontId="20"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13" fillId="4" borderId="6" xfId="0" applyFont="1" applyFill="1" applyBorder="1" applyAlignment="1">
      <alignment horizontal="center" vertical="center" wrapText="1" readingOrder="1"/>
    </xf>
    <xf numFmtId="0" fontId="13" fillId="4" borderId="7" xfId="0" applyFont="1" applyFill="1" applyBorder="1" applyAlignment="1">
      <alignment horizontal="center" vertical="center" wrapText="1" readingOrder="1"/>
    </xf>
    <xf numFmtId="0" fontId="12" fillId="0" borderId="14" xfId="0" applyFont="1" applyBorder="1" applyAlignment="1">
      <alignment horizontal="left" vertical="center" readingOrder="1"/>
    </xf>
    <xf numFmtId="0" fontId="9" fillId="0" borderId="0" xfId="0" applyFont="1" applyAlignment="1">
      <alignment horizontal="center" vertical="center" readingOrder="1"/>
    </xf>
    <xf numFmtId="0" fontId="12" fillId="0" borderId="0" xfId="0" applyFont="1" applyAlignment="1">
      <alignment horizontal="left" vertical="center" readingOrder="1"/>
    </xf>
    <xf numFmtId="0" fontId="3" fillId="0" borderId="28" xfId="0" applyFont="1" applyBorder="1" applyAlignment="1">
      <alignment horizontal="center" vertical="center" wrapText="1"/>
    </xf>
    <xf numFmtId="0" fontId="0" fillId="0" borderId="0" xfId="0" applyAlignment="1">
      <alignment vertical="center" wrapText="1"/>
    </xf>
  </cellXfs>
  <cellStyles count="5">
    <cellStyle name="Comma" xfId="4" builtinId="3"/>
    <cellStyle name="Hyperlink" xfId="3" builtinId="8"/>
    <cellStyle name="Normal" xfId="0" builtinId="0"/>
    <cellStyle name="Normal 2" xfId="1" xr:uid="{00000000-0005-0000-0000-000003000000}"/>
    <cellStyle name="Normal 3" xfId="2" xr:uid="{00000000-0005-0000-0000-000004000000}"/>
  </cellStyles>
  <dxfs count="0"/>
  <tableStyles count="0" defaultTableStyle="TableStyleMedium2" defaultPivotStyle="PivotStyleLight16"/>
  <colors>
    <mruColors>
      <color rgb="FF00B0F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U99"/>
  <sheetViews>
    <sheetView showGridLines="0" tabSelected="1" zoomScale="70" zoomScaleNormal="70" workbookViewId="0">
      <selection activeCell="B5" sqref="B5:B36"/>
    </sheetView>
  </sheetViews>
  <sheetFormatPr defaultRowHeight="15" x14ac:dyDescent="0.25"/>
  <cols>
    <col min="1" max="1" width="2.140625" customWidth="1"/>
    <col min="2" max="2" width="17.140625" customWidth="1"/>
    <col min="3" max="3" width="17.28515625" customWidth="1"/>
    <col min="4" max="4" width="61.85546875" customWidth="1"/>
    <col min="5" max="5" width="49.140625" customWidth="1"/>
    <col min="6" max="6" width="59.140625" customWidth="1"/>
    <col min="7" max="7" width="7.85546875" customWidth="1"/>
    <col min="8" max="8" width="9.7109375" customWidth="1"/>
    <col min="9" max="9" width="9.5703125" customWidth="1"/>
    <col min="10" max="10" width="13.7109375" customWidth="1"/>
    <col min="11" max="11" width="17.85546875" customWidth="1"/>
    <col min="12" max="12" width="18" customWidth="1"/>
    <col min="13" max="13" width="20.28515625" customWidth="1"/>
    <col min="14" max="14" width="19.5703125" customWidth="1"/>
    <col min="15" max="15" width="17.7109375" customWidth="1"/>
    <col min="16" max="16" width="20.7109375" customWidth="1"/>
    <col min="17" max="17" width="23.28515625" customWidth="1"/>
    <col min="18" max="18" width="18.7109375" customWidth="1"/>
    <col min="19" max="19" width="20.85546875" customWidth="1"/>
    <col min="20" max="20" width="48.28515625" customWidth="1"/>
    <col min="21" max="21" width="28" customWidth="1"/>
  </cols>
  <sheetData>
    <row r="1" spans="1:21" ht="31.15" customHeight="1" x14ac:dyDescent="0.35">
      <c r="B1" s="24" t="s">
        <v>0</v>
      </c>
    </row>
    <row r="2" spans="1:21" ht="40.9" customHeight="1" x14ac:dyDescent="0.25">
      <c r="B2" s="98" t="s">
        <v>1</v>
      </c>
      <c r="C2" s="99"/>
      <c r="D2" s="99"/>
      <c r="E2" s="18" t="s">
        <v>2</v>
      </c>
      <c r="F2" s="21">
        <v>2021</v>
      </c>
    </row>
    <row r="3" spans="1:21" s="4" customFormat="1" ht="36" customHeight="1" x14ac:dyDescent="0.25">
      <c r="A3" s="119" t="s">
        <v>214</v>
      </c>
      <c r="B3" s="94" t="s">
        <v>3</v>
      </c>
      <c r="C3" s="94" t="s">
        <v>4</v>
      </c>
      <c r="D3" s="94" t="s">
        <v>5</v>
      </c>
      <c r="E3" s="94" t="s">
        <v>6</v>
      </c>
      <c r="F3" s="94" t="s">
        <v>7</v>
      </c>
      <c r="G3" s="94" t="s">
        <v>8</v>
      </c>
      <c r="H3" s="94" t="s">
        <v>9</v>
      </c>
      <c r="I3" s="94" t="s">
        <v>10</v>
      </c>
      <c r="J3" s="93" t="s">
        <v>11</v>
      </c>
      <c r="K3" s="93"/>
      <c r="L3" s="93"/>
      <c r="M3" s="93"/>
      <c r="N3" s="93" t="s">
        <v>12</v>
      </c>
      <c r="O3" s="93"/>
      <c r="P3" s="93"/>
      <c r="Q3" s="93"/>
      <c r="R3" s="93"/>
      <c r="S3" s="93"/>
      <c r="T3" s="94" t="s">
        <v>13</v>
      </c>
      <c r="U3" s="94" t="s">
        <v>14</v>
      </c>
    </row>
    <row r="4" spans="1:21" s="4" customFormat="1" ht="66.599999999999994" customHeight="1" x14ac:dyDescent="0.25">
      <c r="A4" s="119"/>
      <c r="B4" s="94"/>
      <c r="C4" s="94"/>
      <c r="D4" s="94"/>
      <c r="E4" s="94"/>
      <c r="F4" s="94"/>
      <c r="G4" s="94"/>
      <c r="H4" s="94"/>
      <c r="I4" s="94"/>
      <c r="J4" s="60" t="s">
        <v>15</v>
      </c>
      <c r="K4" s="60" t="s">
        <v>16</v>
      </c>
      <c r="L4" s="60" t="s">
        <v>17</v>
      </c>
      <c r="M4" s="6" t="s">
        <v>18</v>
      </c>
      <c r="N4" s="60" t="s">
        <v>19</v>
      </c>
      <c r="O4" s="60" t="s">
        <v>20</v>
      </c>
      <c r="P4" s="60" t="s">
        <v>21</v>
      </c>
      <c r="Q4" s="60" t="s">
        <v>22</v>
      </c>
      <c r="R4" s="60" t="s">
        <v>23</v>
      </c>
      <c r="S4" s="6" t="s">
        <v>24</v>
      </c>
      <c r="T4" s="94"/>
      <c r="U4" s="94"/>
    </row>
    <row r="5" spans="1:21" ht="15.75" x14ac:dyDescent="0.25">
      <c r="A5" s="120" t="s">
        <v>215</v>
      </c>
      <c r="B5" s="101" t="s">
        <v>25</v>
      </c>
      <c r="C5" s="95" t="s">
        <v>26</v>
      </c>
      <c r="D5" s="95" t="s">
        <v>27</v>
      </c>
      <c r="E5" s="17" t="s">
        <v>28</v>
      </c>
      <c r="F5" s="25"/>
      <c r="G5" s="61">
        <f>IF(LEN(TRIM(F5)) = 4, 1,  IF(LEN(TRIM(F5)) &gt; 5, LEN(TRIM(F5))-LEN(SUBSTITUTE(TRIM(F5),",",""))+1, 0))</f>
        <v>0</v>
      </c>
      <c r="H5" s="61">
        <f>IF(ISNUMBER(SEARCH($F$2, $F5)), 1, 0) + IF(ISNUMBER(SEARCH($F$2-1, $F5)), 1, 0) + IF(ISNUMBER(SEARCH($F$2-2, $F5)), 1, 0) + IF(ISNUMBER(SEARCH($F$2-3, $F5)), 1, 0) + IF(ISNUMBER(SEARCH($F$2-4, $F5)), 1, 0)</f>
        <v>0</v>
      </c>
      <c r="I5" s="61">
        <f>IF(ISNUMBER(SEARCH($F$2, $F5)), 1, 0) + IF(ISNUMBER(SEARCH($F$2-1, $F5)), 1, 0) + IF(ISNUMBER(SEARCH($F$2-2, $F5)), 1, 0) + IF(ISNUMBER(SEARCH($F$2-3, $F5)), 1, 0) + IF(ISNUMBER(SEARCH($F$2-4, $F5)), 1, 0) + IF(ISNUMBER(SEARCH($F$2-5, $F5)), 1, 0) + IF(ISNUMBER(SEARCH($F$2-6, $F5)), 1, 0) + IF(ISNUMBER(SEARCH($F$2-7, $F5)), 1, 0) + IF(ISNUMBER(SEARCH($F$2-8, $F5)), 1, 0) + IF(ISNUMBER(SEARCH($F$2-9, $F5)), 1, 0)</f>
        <v>0</v>
      </c>
      <c r="J5" s="59">
        <f>IF(F5="NA", "NA", IF(G5&gt;0, 1, 0))</f>
        <v>0</v>
      </c>
      <c r="K5" s="59">
        <f>IF(F5="NA","NA",IF(H5&gt;2,1,IF(H5&gt;1,0.5,0)))</f>
        <v>0</v>
      </c>
      <c r="L5" s="59">
        <f>IF(F5="NA","NA",IF(I5&gt;5, 1, IF(I5&gt;2, 0.5, 0)))</f>
        <v>0</v>
      </c>
      <c r="M5" s="59">
        <f>SUMIF(J5:L5,"&lt;&gt;#N/A")</f>
        <v>0</v>
      </c>
      <c r="N5" s="62">
        <f>IF(F5 = "NA", "NA", 0)</f>
        <v>0</v>
      </c>
      <c r="O5" s="62">
        <f>IF(F5 = "NA", "NA", 0)</f>
        <v>0</v>
      </c>
      <c r="P5" s="62">
        <f>IF(F5 = "NA", "NA", 0)</f>
        <v>0</v>
      </c>
      <c r="Q5" s="62">
        <f>IF(F5 = "NA", "NA", 0)</f>
        <v>0</v>
      </c>
      <c r="R5" s="62">
        <f>IF(F5 = "NA", "NA", 0)</f>
        <v>0</v>
      </c>
      <c r="S5" s="59">
        <f>SUMIF(N5:R5,"&lt;&gt;#N/A")</f>
        <v>0</v>
      </c>
      <c r="T5" s="26"/>
      <c r="U5" s="26"/>
    </row>
    <row r="6" spans="1:21" ht="15.75" x14ac:dyDescent="0.25">
      <c r="A6" s="120" t="s">
        <v>216</v>
      </c>
      <c r="B6" s="101"/>
      <c r="C6" s="95"/>
      <c r="D6" s="95"/>
      <c r="E6" s="2" t="s">
        <v>29</v>
      </c>
      <c r="F6" s="25"/>
      <c r="G6" s="61">
        <f t="shared" ref="G6:G36" si="0">IF(LEN(TRIM(F6)) = 4, 1,  IF(LEN(TRIM(F6)) &gt; 5, LEN(TRIM(F6))-LEN(SUBSTITUTE(TRIM(F6),",",""))+1, 0))</f>
        <v>0</v>
      </c>
      <c r="H6" s="61">
        <f t="shared" ref="H6:H69" si="1">IF(ISNUMBER(SEARCH($F$2, $F6)), 1, 0) + IF(ISNUMBER(SEARCH($F$2-1, $F6)), 1, 0) + IF(ISNUMBER(SEARCH($F$2-2, $F6)), 1, 0) + IF(ISNUMBER(SEARCH($F$2-3, $F6)), 1, 0) + IF(ISNUMBER(SEARCH($F$2-4, $F6)), 1, 0)</f>
        <v>0</v>
      </c>
      <c r="I6" s="61">
        <f t="shared" ref="I6:I69" si="2">IF(ISNUMBER(SEARCH($F$2, $F6)), 1, 0) + IF(ISNUMBER(SEARCH($F$2-1, $F6)), 1, 0) + IF(ISNUMBER(SEARCH($F$2-2, $F6)), 1, 0) + IF(ISNUMBER(SEARCH($F$2-3, $F6)), 1, 0) + IF(ISNUMBER(SEARCH($F$2-4, $F6)), 1, 0) + IF(ISNUMBER(SEARCH($F$2-5, $F6)), 1, 0) + IF(ISNUMBER(SEARCH($F$2-6, $F6)), 1, 0) + IF(ISNUMBER(SEARCH($F$2-7, $F6)), 1, 0) + IF(ISNUMBER(SEARCH($F$2-8, $F6)), 1, 0) + IF(ISNUMBER(SEARCH($F$2-9, $F6)), 1, 0)</f>
        <v>0</v>
      </c>
      <c r="J6" s="59">
        <f t="shared" ref="J6:J69" si="3">IF(F6="NA", "NA", IF(G6&gt;0, 1, 0))</f>
        <v>0</v>
      </c>
      <c r="K6" s="59">
        <f t="shared" ref="K6:K69" si="4">IF(F6="NA","NA",IF(H6&gt;2,1,IF(H6&gt;1,0.5,0)))</f>
        <v>0</v>
      </c>
      <c r="L6" s="59">
        <f t="shared" ref="L6:L69" si="5">IF(F6="NA","NA",IF(I6&gt;5, 1, IF(I6&gt;2, 0.5, 0)))</f>
        <v>0</v>
      </c>
      <c r="M6" s="59">
        <f t="shared" ref="M6:M69" si="6">SUMIF(J6:L6,"&lt;&gt;#N/A")</f>
        <v>0</v>
      </c>
      <c r="N6" s="62">
        <f t="shared" ref="N6:N69" si="7">IF(F6 = "NA", "NA", 0)</f>
        <v>0</v>
      </c>
      <c r="O6" s="62">
        <f t="shared" ref="O6:O69" si="8">IF(F6 = "NA", "NA", 0)</f>
        <v>0</v>
      </c>
      <c r="P6" s="62">
        <f t="shared" ref="P6:P69" si="9">IF(F6 = "NA", "NA", 0)</f>
        <v>0</v>
      </c>
      <c r="Q6" s="62">
        <f t="shared" ref="Q6:Q69" si="10">IF(F6 = "NA", "NA", 0)</f>
        <v>0</v>
      </c>
      <c r="R6" s="62">
        <f t="shared" ref="R6:R69" si="11">IF(F6 = "NA", "NA", 0)</f>
        <v>0</v>
      </c>
      <c r="S6" s="59">
        <f>SUMIF(N6:R6,"&lt;&gt;#N/A")</f>
        <v>0</v>
      </c>
      <c r="T6" s="26"/>
      <c r="U6" s="26"/>
    </row>
    <row r="7" spans="1:21" ht="15.75" x14ac:dyDescent="0.25">
      <c r="A7" s="120" t="s">
        <v>217</v>
      </c>
      <c r="B7" s="101"/>
      <c r="C7" s="95"/>
      <c r="D7" s="17" t="s">
        <v>30</v>
      </c>
      <c r="E7" s="17" t="s">
        <v>31</v>
      </c>
      <c r="F7" s="25"/>
      <c r="G7" s="61">
        <f t="shared" si="0"/>
        <v>0</v>
      </c>
      <c r="H7" s="61">
        <f t="shared" si="1"/>
        <v>0</v>
      </c>
      <c r="I7" s="61">
        <f t="shared" si="2"/>
        <v>0</v>
      </c>
      <c r="J7" s="59">
        <f t="shared" si="3"/>
        <v>0</v>
      </c>
      <c r="K7" s="59">
        <f t="shared" si="4"/>
        <v>0</v>
      </c>
      <c r="L7" s="59">
        <f t="shared" si="5"/>
        <v>0</v>
      </c>
      <c r="M7" s="59">
        <f t="shared" si="6"/>
        <v>0</v>
      </c>
      <c r="N7" s="62">
        <f t="shared" si="7"/>
        <v>0</v>
      </c>
      <c r="O7" s="62">
        <f t="shared" si="8"/>
        <v>0</v>
      </c>
      <c r="P7" s="62">
        <f t="shared" si="9"/>
        <v>0</v>
      </c>
      <c r="Q7" s="62">
        <f t="shared" si="10"/>
        <v>0</v>
      </c>
      <c r="R7" s="62">
        <f t="shared" si="11"/>
        <v>0</v>
      </c>
      <c r="S7" s="59">
        <f>SUMIF(N7:R7,"&lt;&gt;#N/A")</f>
        <v>0</v>
      </c>
      <c r="T7" s="26"/>
      <c r="U7" s="26"/>
    </row>
    <row r="8" spans="1:21" ht="15.75" x14ac:dyDescent="0.25">
      <c r="A8" s="120" t="s">
        <v>218</v>
      </c>
      <c r="B8" s="101"/>
      <c r="C8" s="95"/>
      <c r="D8" s="17" t="s">
        <v>32</v>
      </c>
      <c r="E8" s="1"/>
      <c r="F8" s="25"/>
      <c r="G8" s="61">
        <f t="shared" si="0"/>
        <v>0</v>
      </c>
      <c r="H8" s="61">
        <f t="shared" si="1"/>
        <v>0</v>
      </c>
      <c r="I8" s="61">
        <f t="shared" si="2"/>
        <v>0</v>
      </c>
      <c r="J8" s="59">
        <f t="shared" si="3"/>
        <v>0</v>
      </c>
      <c r="K8" s="59">
        <f t="shared" si="4"/>
        <v>0</v>
      </c>
      <c r="L8" s="59">
        <f t="shared" si="5"/>
        <v>0</v>
      </c>
      <c r="M8" s="59">
        <f t="shared" si="6"/>
        <v>0</v>
      </c>
      <c r="N8" s="62">
        <f t="shared" si="7"/>
        <v>0</v>
      </c>
      <c r="O8" s="62">
        <f t="shared" si="8"/>
        <v>0</v>
      </c>
      <c r="P8" s="62">
        <f t="shared" si="9"/>
        <v>0</v>
      </c>
      <c r="Q8" s="62">
        <f t="shared" si="10"/>
        <v>0</v>
      </c>
      <c r="R8" s="62">
        <f t="shared" si="11"/>
        <v>0</v>
      </c>
      <c r="S8" s="59">
        <f t="shared" ref="S8:S71" si="12">SUMIF(N8:R8,"&lt;&gt;#N/A")</f>
        <v>0</v>
      </c>
      <c r="T8" s="26"/>
      <c r="U8" s="26"/>
    </row>
    <row r="9" spans="1:21" ht="15.75" x14ac:dyDescent="0.25">
      <c r="A9" s="120" t="s">
        <v>219</v>
      </c>
      <c r="B9" s="101"/>
      <c r="C9" s="95" t="s">
        <v>33</v>
      </c>
      <c r="D9" s="95" t="s">
        <v>34</v>
      </c>
      <c r="E9" s="17" t="s">
        <v>28</v>
      </c>
      <c r="F9" s="25"/>
      <c r="G9" s="61">
        <f t="shared" si="0"/>
        <v>0</v>
      </c>
      <c r="H9" s="61">
        <f t="shared" si="1"/>
        <v>0</v>
      </c>
      <c r="I9" s="61">
        <f t="shared" si="2"/>
        <v>0</v>
      </c>
      <c r="J9" s="59">
        <f t="shared" si="3"/>
        <v>0</v>
      </c>
      <c r="K9" s="59">
        <f t="shared" si="4"/>
        <v>0</v>
      </c>
      <c r="L9" s="59">
        <f t="shared" si="5"/>
        <v>0</v>
      </c>
      <c r="M9" s="59">
        <f t="shared" si="6"/>
        <v>0</v>
      </c>
      <c r="N9" s="62">
        <v>0</v>
      </c>
      <c r="O9" s="62">
        <v>0</v>
      </c>
      <c r="P9" s="62">
        <f t="shared" si="9"/>
        <v>0</v>
      </c>
      <c r="Q9" s="62">
        <f t="shared" si="10"/>
        <v>0</v>
      </c>
      <c r="R9" s="62">
        <f t="shared" si="11"/>
        <v>0</v>
      </c>
      <c r="S9" s="59">
        <f t="shared" si="12"/>
        <v>0</v>
      </c>
      <c r="T9" s="26"/>
      <c r="U9" s="26"/>
    </row>
    <row r="10" spans="1:21" ht="15.75" x14ac:dyDescent="0.25">
      <c r="A10" s="120" t="s">
        <v>220</v>
      </c>
      <c r="B10" s="101"/>
      <c r="C10" s="95"/>
      <c r="D10" s="95"/>
      <c r="E10" s="2" t="s">
        <v>29</v>
      </c>
      <c r="F10" s="25"/>
      <c r="G10" s="61">
        <f t="shared" si="0"/>
        <v>0</v>
      </c>
      <c r="H10" s="61">
        <f t="shared" si="1"/>
        <v>0</v>
      </c>
      <c r="I10" s="61">
        <f t="shared" si="2"/>
        <v>0</v>
      </c>
      <c r="J10" s="59">
        <f t="shared" si="3"/>
        <v>0</v>
      </c>
      <c r="K10" s="59">
        <f t="shared" si="4"/>
        <v>0</v>
      </c>
      <c r="L10" s="59">
        <f t="shared" si="5"/>
        <v>0</v>
      </c>
      <c r="M10" s="59">
        <f t="shared" si="6"/>
        <v>0</v>
      </c>
      <c r="N10" s="62">
        <f t="shared" si="7"/>
        <v>0</v>
      </c>
      <c r="O10" s="62">
        <f t="shared" si="8"/>
        <v>0</v>
      </c>
      <c r="P10" s="62">
        <f t="shared" si="9"/>
        <v>0</v>
      </c>
      <c r="Q10" s="62">
        <f t="shared" si="10"/>
        <v>0</v>
      </c>
      <c r="R10" s="62">
        <f t="shared" si="11"/>
        <v>0</v>
      </c>
      <c r="S10" s="59">
        <f t="shared" si="12"/>
        <v>0</v>
      </c>
      <c r="T10" s="26"/>
      <c r="U10" s="26"/>
    </row>
    <row r="11" spans="1:21" ht="15.75" x14ac:dyDescent="0.25">
      <c r="A11" s="120" t="s">
        <v>221</v>
      </c>
      <c r="B11" s="101"/>
      <c r="C11" s="95"/>
      <c r="D11" s="95"/>
      <c r="E11" s="2" t="s">
        <v>35</v>
      </c>
      <c r="F11" s="25"/>
      <c r="G11" s="61">
        <f t="shared" si="0"/>
        <v>0</v>
      </c>
      <c r="H11" s="61">
        <f t="shared" si="1"/>
        <v>0</v>
      </c>
      <c r="I11" s="61">
        <f t="shared" si="2"/>
        <v>0</v>
      </c>
      <c r="J11" s="59">
        <f t="shared" si="3"/>
        <v>0</v>
      </c>
      <c r="K11" s="59">
        <f t="shared" si="4"/>
        <v>0</v>
      </c>
      <c r="L11" s="59">
        <f t="shared" si="5"/>
        <v>0</v>
      </c>
      <c r="M11" s="59">
        <f t="shared" si="6"/>
        <v>0</v>
      </c>
      <c r="N11" s="62">
        <f t="shared" si="7"/>
        <v>0</v>
      </c>
      <c r="O11" s="62">
        <f t="shared" si="8"/>
        <v>0</v>
      </c>
      <c r="P11" s="62">
        <f t="shared" si="9"/>
        <v>0</v>
      </c>
      <c r="Q11" s="62">
        <f t="shared" si="10"/>
        <v>0</v>
      </c>
      <c r="R11" s="62">
        <f t="shared" si="11"/>
        <v>0</v>
      </c>
      <c r="S11" s="59">
        <f t="shared" si="12"/>
        <v>0</v>
      </c>
      <c r="T11" s="26"/>
      <c r="U11" s="26"/>
    </row>
    <row r="12" spans="1:21" ht="15.75" x14ac:dyDescent="0.25">
      <c r="A12" s="120" t="s">
        <v>222</v>
      </c>
      <c r="B12" s="101"/>
      <c r="C12" s="95"/>
      <c r="D12" s="95"/>
      <c r="E12" s="2" t="s">
        <v>36</v>
      </c>
      <c r="F12" s="25"/>
      <c r="G12" s="61">
        <f t="shared" si="0"/>
        <v>0</v>
      </c>
      <c r="H12" s="61">
        <f t="shared" si="1"/>
        <v>0</v>
      </c>
      <c r="I12" s="61">
        <f t="shared" si="2"/>
        <v>0</v>
      </c>
      <c r="J12" s="59">
        <f t="shared" si="3"/>
        <v>0</v>
      </c>
      <c r="K12" s="59">
        <f t="shared" si="4"/>
        <v>0</v>
      </c>
      <c r="L12" s="59">
        <f t="shared" si="5"/>
        <v>0</v>
      </c>
      <c r="M12" s="59">
        <f t="shared" si="6"/>
        <v>0</v>
      </c>
      <c r="N12" s="62">
        <f t="shared" si="7"/>
        <v>0</v>
      </c>
      <c r="O12" s="62">
        <f t="shared" si="8"/>
        <v>0</v>
      </c>
      <c r="P12" s="62">
        <f t="shared" si="9"/>
        <v>0</v>
      </c>
      <c r="Q12" s="62">
        <f t="shared" si="10"/>
        <v>0</v>
      </c>
      <c r="R12" s="62">
        <f t="shared" si="11"/>
        <v>0</v>
      </c>
      <c r="S12" s="59">
        <f t="shared" si="12"/>
        <v>0</v>
      </c>
      <c r="T12" s="26"/>
      <c r="U12" s="26"/>
    </row>
    <row r="13" spans="1:21" ht="15.75" x14ac:dyDescent="0.25">
      <c r="A13" s="120" t="s">
        <v>223</v>
      </c>
      <c r="B13" s="101"/>
      <c r="C13" s="95"/>
      <c r="D13" s="17" t="s">
        <v>37</v>
      </c>
      <c r="E13" s="1"/>
      <c r="F13" s="25"/>
      <c r="G13" s="61">
        <f t="shared" si="0"/>
        <v>0</v>
      </c>
      <c r="H13" s="61">
        <f t="shared" si="1"/>
        <v>0</v>
      </c>
      <c r="I13" s="61">
        <f t="shared" si="2"/>
        <v>0</v>
      </c>
      <c r="J13" s="59">
        <f t="shared" si="3"/>
        <v>0</v>
      </c>
      <c r="K13" s="59">
        <f t="shared" si="4"/>
        <v>0</v>
      </c>
      <c r="L13" s="59">
        <f t="shared" si="5"/>
        <v>0</v>
      </c>
      <c r="M13" s="59">
        <f t="shared" si="6"/>
        <v>0</v>
      </c>
      <c r="N13" s="62">
        <f t="shared" si="7"/>
        <v>0</v>
      </c>
      <c r="O13" s="62">
        <f t="shared" si="8"/>
        <v>0</v>
      </c>
      <c r="P13" s="62">
        <f t="shared" si="9"/>
        <v>0</v>
      </c>
      <c r="Q13" s="62">
        <f t="shared" si="10"/>
        <v>0</v>
      </c>
      <c r="R13" s="62">
        <f t="shared" si="11"/>
        <v>0</v>
      </c>
      <c r="S13" s="59">
        <f t="shared" si="12"/>
        <v>0</v>
      </c>
      <c r="T13" s="26"/>
      <c r="U13" s="26"/>
    </row>
    <row r="14" spans="1:21" ht="15.75" x14ac:dyDescent="0.25">
      <c r="A14" s="120" t="s">
        <v>224</v>
      </c>
      <c r="B14" s="101"/>
      <c r="C14" s="95"/>
      <c r="D14" s="17" t="s">
        <v>38</v>
      </c>
      <c r="E14" s="1"/>
      <c r="F14" s="25"/>
      <c r="G14" s="61">
        <f t="shared" si="0"/>
        <v>0</v>
      </c>
      <c r="H14" s="61">
        <f t="shared" si="1"/>
        <v>0</v>
      </c>
      <c r="I14" s="61">
        <f t="shared" si="2"/>
        <v>0</v>
      </c>
      <c r="J14" s="59">
        <f t="shared" si="3"/>
        <v>0</v>
      </c>
      <c r="K14" s="59">
        <f t="shared" si="4"/>
        <v>0</v>
      </c>
      <c r="L14" s="59">
        <f t="shared" si="5"/>
        <v>0</v>
      </c>
      <c r="M14" s="59">
        <f t="shared" si="6"/>
        <v>0</v>
      </c>
      <c r="N14" s="62">
        <f t="shared" si="7"/>
        <v>0</v>
      </c>
      <c r="O14" s="62">
        <f t="shared" si="8"/>
        <v>0</v>
      </c>
      <c r="P14" s="62">
        <f t="shared" si="9"/>
        <v>0</v>
      </c>
      <c r="Q14" s="62">
        <f t="shared" si="10"/>
        <v>0</v>
      </c>
      <c r="R14" s="62">
        <f t="shared" si="11"/>
        <v>0</v>
      </c>
      <c r="S14" s="59">
        <f t="shared" si="12"/>
        <v>0</v>
      </c>
      <c r="T14" s="26"/>
      <c r="U14" s="26"/>
    </row>
    <row r="15" spans="1:21" ht="15.75" x14ac:dyDescent="0.25">
      <c r="A15" s="120" t="s">
        <v>225</v>
      </c>
      <c r="B15" s="101"/>
      <c r="C15" s="95" t="s">
        <v>39</v>
      </c>
      <c r="D15" s="17" t="s">
        <v>40</v>
      </c>
      <c r="E15" s="1"/>
      <c r="F15" s="25"/>
      <c r="G15" s="61">
        <f t="shared" si="0"/>
        <v>0</v>
      </c>
      <c r="H15" s="61">
        <f t="shared" si="1"/>
        <v>0</v>
      </c>
      <c r="I15" s="61">
        <f t="shared" si="2"/>
        <v>0</v>
      </c>
      <c r="J15" s="59">
        <f t="shared" si="3"/>
        <v>0</v>
      </c>
      <c r="K15" s="59">
        <f t="shared" si="4"/>
        <v>0</v>
      </c>
      <c r="L15" s="59">
        <f t="shared" si="5"/>
        <v>0</v>
      </c>
      <c r="M15" s="59">
        <f t="shared" si="6"/>
        <v>0</v>
      </c>
      <c r="N15" s="62">
        <f t="shared" si="7"/>
        <v>0</v>
      </c>
      <c r="O15" s="62">
        <f t="shared" si="8"/>
        <v>0</v>
      </c>
      <c r="P15" s="62">
        <f t="shared" si="9"/>
        <v>0</v>
      </c>
      <c r="Q15" s="62">
        <f t="shared" si="10"/>
        <v>0</v>
      </c>
      <c r="R15" s="62">
        <f t="shared" si="11"/>
        <v>0</v>
      </c>
      <c r="S15" s="59">
        <f t="shared" si="12"/>
        <v>0</v>
      </c>
      <c r="T15" s="26"/>
      <c r="U15" s="26"/>
    </row>
    <row r="16" spans="1:21" ht="15.75" x14ac:dyDescent="0.25">
      <c r="A16" s="120" t="s">
        <v>226</v>
      </c>
      <c r="B16" s="101"/>
      <c r="C16" s="95"/>
      <c r="D16" s="17" t="s">
        <v>41</v>
      </c>
      <c r="E16" s="1"/>
      <c r="F16" s="25"/>
      <c r="G16" s="61">
        <f t="shared" si="0"/>
        <v>0</v>
      </c>
      <c r="H16" s="61">
        <f t="shared" si="1"/>
        <v>0</v>
      </c>
      <c r="I16" s="61">
        <f t="shared" si="2"/>
        <v>0</v>
      </c>
      <c r="J16" s="59">
        <f t="shared" si="3"/>
        <v>0</v>
      </c>
      <c r="K16" s="59">
        <f t="shared" si="4"/>
        <v>0</v>
      </c>
      <c r="L16" s="59">
        <f t="shared" si="5"/>
        <v>0</v>
      </c>
      <c r="M16" s="59">
        <f t="shared" si="6"/>
        <v>0</v>
      </c>
      <c r="N16" s="62">
        <f t="shared" si="7"/>
        <v>0</v>
      </c>
      <c r="O16" s="62">
        <f t="shared" si="8"/>
        <v>0</v>
      </c>
      <c r="P16" s="62">
        <f t="shared" si="9"/>
        <v>0</v>
      </c>
      <c r="Q16" s="62">
        <f t="shared" si="10"/>
        <v>0</v>
      </c>
      <c r="R16" s="62">
        <f t="shared" si="11"/>
        <v>0</v>
      </c>
      <c r="S16" s="59">
        <f t="shared" si="12"/>
        <v>0</v>
      </c>
      <c r="T16" s="26"/>
      <c r="U16" s="26"/>
    </row>
    <row r="17" spans="1:21" ht="15.75" x14ac:dyDescent="0.25">
      <c r="A17" s="120" t="s">
        <v>227</v>
      </c>
      <c r="B17" s="101"/>
      <c r="C17" s="95"/>
      <c r="D17" s="17" t="s">
        <v>42</v>
      </c>
      <c r="E17" s="1"/>
      <c r="F17" s="25"/>
      <c r="G17" s="61">
        <f t="shared" si="0"/>
        <v>0</v>
      </c>
      <c r="H17" s="61">
        <f t="shared" si="1"/>
        <v>0</v>
      </c>
      <c r="I17" s="61">
        <f t="shared" si="2"/>
        <v>0</v>
      </c>
      <c r="J17" s="59">
        <f t="shared" si="3"/>
        <v>0</v>
      </c>
      <c r="K17" s="59">
        <f t="shared" si="4"/>
        <v>0</v>
      </c>
      <c r="L17" s="59">
        <f t="shared" si="5"/>
        <v>0</v>
      </c>
      <c r="M17" s="59">
        <f t="shared" si="6"/>
        <v>0</v>
      </c>
      <c r="N17" s="62">
        <f t="shared" si="7"/>
        <v>0</v>
      </c>
      <c r="O17" s="62">
        <f t="shared" si="8"/>
        <v>0</v>
      </c>
      <c r="P17" s="62">
        <f t="shared" si="9"/>
        <v>0</v>
      </c>
      <c r="Q17" s="62">
        <f t="shared" si="10"/>
        <v>0</v>
      </c>
      <c r="R17" s="62">
        <f t="shared" si="11"/>
        <v>0</v>
      </c>
      <c r="S17" s="59">
        <f t="shared" si="12"/>
        <v>0</v>
      </c>
      <c r="T17" s="26"/>
      <c r="U17" s="26"/>
    </row>
    <row r="18" spans="1:21" ht="15.75" x14ac:dyDescent="0.25">
      <c r="A18" s="120" t="s">
        <v>228</v>
      </c>
      <c r="B18" s="101"/>
      <c r="C18" s="95"/>
      <c r="D18" s="17" t="s">
        <v>43</v>
      </c>
      <c r="E18" s="1"/>
      <c r="F18" s="25"/>
      <c r="G18" s="61">
        <f t="shared" si="0"/>
        <v>0</v>
      </c>
      <c r="H18" s="61">
        <f t="shared" si="1"/>
        <v>0</v>
      </c>
      <c r="I18" s="61">
        <f t="shared" si="2"/>
        <v>0</v>
      </c>
      <c r="J18" s="59">
        <f t="shared" si="3"/>
        <v>0</v>
      </c>
      <c r="K18" s="59">
        <f t="shared" si="4"/>
        <v>0</v>
      </c>
      <c r="L18" s="59">
        <f t="shared" si="5"/>
        <v>0</v>
      </c>
      <c r="M18" s="59">
        <f t="shared" si="6"/>
        <v>0</v>
      </c>
      <c r="N18" s="62">
        <f t="shared" si="7"/>
        <v>0</v>
      </c>
      <c r="O18" s="62">
        <f t="shared" si="8"/>
        <v>0</v>
      </c>
      <c r="P18" s="62">
        <f t="shared" si="9"/>
        <v>0</v>
      </c>
      <c r="Q18" s="62">
        <f t="shared" si="10"/>
        <v>0</v>
      </c>
      <c r="R18" s="62">
        <f t="shared" si="11"/>
        <v>0</v>
      </c>
      <c r="S18" s="59">
        <f t="shared" si="12"/>
        <v>0</v>
      </c>
      <c r="T18" s="26"/>
      <c r="U18" s="26"/>
    </row>
    <row r="19" spans="1:21" ht="15.75" x14ac:dyDescent="0.25">
      <c r="A19" s="120" t="s">
        <v>229</v>
      </c>
      <c r="B19" s="101"/>
      <c r="C19" s="95"/>
      <c r="D19" s="17" t="s">
        <v>44</v>
      </c>
      <c r="E19" s="1"/>
      <c r="F19" s="25"/>
      <c r="G19" s="61">
        <f>IF(LEN(TRIM(F19)) = 4, 1,  IF(LEN(TRIM(F19)) &gt; 5, LEN(TRIM(F19))-LEN(SUBSTITUTE(TRIM(F19),",",""))+1, 0))</f>
        <v>0</v>
      </c>
      <c r="H19" s="61">
        <f t="shared" si="1"/>
        <v>0</v>
      </c>
      <c r="I19" s="61">
        <f t="shared" si="2"/>
        <v>0</v>
      </c>
      <c r="J19" s="59">
        <f t="shared" si="3"/>
        <v>0</v>
      </c>
      <c r="K19" s="59">
        <f t="shared" si="4"/>
        <v>0</v>
      </c>
      <c r="L19" s="59">
        <f t="shared" si="5"/>
        <v>0</v>
      </c>
      <c r="M19" s="59">
        <f t="shared" si="6"/>
        <v>0</v>
      </c>
      <c r="N19" s="62">
        <f t="shared" si="7"/>
        <v>0</v>
      </c>
      <c r="O19" s="62">
        <f t="shared" si="8"/>
        <v>0</v>
      </c>
      <c r="P19" s="62">
        <f t="shared" si="9"/>
        <v>0</v>
      </c>
      <c r="Q19" s="62">
        <f t="shared" si="10"/>
        <v>0</v>
      </c>
      <c r="R19" s="62">
        <f t="shared" si="11"/>
        <v>0</v>
      </c>
      <c r="S19" s="59">
        <f t="shared" si="12"/>
        <v>0</v>
      </c>
      <c r="T19" s="26"/>
      <c r="U19" s="26"/>
    </row>
    <row r="20" spans="1:21" ht="31.5" x14ac:dyDescent="0.25">
      <c r="A20" s="120" t="s">
        <v>230</v>
      </c>
      <c r="B20" s="101"/>
      <c r="C20" s="95" t="s">
        <v>45</v>
      </c>
      <c r="D20" s="17" t="s">
        <v>46</v>
      </c>
      <c r="E20" s="1"/>
      <c r="F20" s="25"/>
      <c r="G20" s="61">
        <f t="shared" si="0"/>
        <v>0</v>
      </c>
      <c r="H20" s="61">
        <f t="shared" si="1"/>
        <v>0</v>
      </c>
      <c r="I20" s="61">
        <f t="shared" si="2"/>
        <v>0</v>
      </c>
      <c r="J20" s="59">
        <f t="shared" si="3"/>
        <v>0</v>
      </c>
      <c r="K20" s="59">
        <f t="shared" si="4"/>
        <v>0</v>
      </c>
      <c r="L20" s="59">
        <f t="shared" si="5"/>
        <v>0</v>
      </c>
      <c r="M20" s="59">
        <f t="shared" si="6"/>
        <v>0</v>
      </c>
      <c r="N20" s="62">
        <f t="shared" si="7"/>
        <v>0</v>
      </c>
      <c r="O20" s="62">
        <f t="shared" si="8"/>
        <v>0</v>
      </c>
      <c r="P20" s="62">
        <f t="shared" si="9"/>
        <v>0</v>
      </c>
      <c r="Q20" s="62">
        <f t="shared" si="10"/>
        <v>0</v>
      </c>
      <c r="R20" s="62">
        <f t="shared" si="11"/>
        <v>0</v>
      </c>
      <c r="S20" s="59">
        <f t="shared" si="12"/>
        <v>0</v>
      </c>
      <c r="T20" s="26"/>
      <c r="U20" s="26"/>
    </row>
    <row r="21" spans="1:21" ht="15.75" x14ac:dyDescent="0.25">
      <c r="A21" s="120" t="s">
        <v>231</v>
      </c>
      <c r="B21" s="101"/>
      <c r="C21" s="95"/>
      <c r="D21" s="95" t="s">
        <v>47</v>
      </c>
      <c r="E21" s="17" t="s">
        <v>48</v>
      </c>
      <c r="F21" s="25"/>
      <c r="G21" s="61">
        <f t="shared" si="0"/>
        <v>0</v>
      </c>
      <c r="H21" s="61">
        <f t="shared" si="1"/>
        <v>0</v>
      </c>
      <c r="I21" s="61">
        <f t="shared" si="2"/>
        <v>0</v>
      </c>
      <c r="J21" s="59">
        <f t="shared" si="3"/>
        <v>0</v>
      </c>
      <c r="K21" s="59">
        <f t="shared" si="4"/>
        <v>0</v>
      </c>
      <c r="L21" s="59">
        <f t="shared" si="5"/>
        <v>0</v>
      </c>
      <c r="M21" s="59">
        <f t="shared" si="6"/>
        <v>0</v>
      </c>
      <c r="N21" s="62">
        <f t="shared" si="7"/>
        <v>0</v>
      </c>
      <c r="O21" s="62">
        <f t="shared" si="8"/>
        <v>0</v>
      </c>
      <c r="P21" s="62">
        <f t="shared" si="9"/>
        <v>0</v>
      </c>
      <c r="Q21" s="62">
        <f t="shared" si="10"/>
        <v>0</v>
      </c>
      <c r="R21" s="62">
        <f t="shared" si="11"/>
        <v>0</v>
      </c>
      <c r="S21" s="59">
        <f t="shared" si="12"/>
        <v>0</v>
      </c>
      <c r="T21" s="26"/>
      <c r="U21" s="26"/>
    </row>
    <row r="22" spans="1:21" ht="15.75" x14ac:dyDescent="0.25">
      <c r="A22" s="120" t="s">
        <v>232</v>
      </c>
      <c r="B22" s="101"/>
      <c r="C22" s="95"/>
      <c r="D22" s="95"/>
      <c r="E22" s="2" t="s">
        <v>49</v>
      </c>
      <c r="F22" s="25"/>
      <c r="G22" s="61">
        <f t="shared" si="0"/>
        <v>0</v>
      </c>
      <c r="H22" s="61">
        <f t="shared" si="1"/>
        <v>0</v>
      </c>
      <c r="I22" s="61">
        <f t="shared" si="2"/>
        <v>0</v>
      </c>
      <c r="J22" s="59">
        <f t="shared" si="3"/>
        <v>0</v>
      </c>
      <c r="K22" s="59">
        <f t="shared" si="4"/>
        <v>0</v>
      </c>
      <c r="L22" s="59">
        <f t="shared" si="5"/>
        <v>0</v>
      </c>
      <c r="M22" s="59">
        <f t="shared" si="6"/>
        <v>0</v>
      </c>
      <c r="N22" s="62">
        <f t="shared" si="7"/>
        <v>0</v>
      </c>
      <c r="O22" s="62">
        <f t="shared" si="8"/>
        <v>0</v>
      </c>
      <c r="P22" s="62">
        <f t="shared" si="9"/>
        <v>0</v>
      </c>
      <c r="Q22" s="62">
        <f t="shared" si="10"/>
        <v>0</v>
      </c>
      <c r="R22" s="62">
        <f t="shared" si="11"/>
        <v>0</v>
      </c>
      <c r="S22" s="59">
        <f t="shared" si="12"/>
        <v>0</v>
      </c>
      <c r="T22" s="26"/>
      <c r="U22" s="26"/>
    </row>
    <row r="23" spans="1:21" ht="15.75" x14ac:dyDescent="0.25">
      <c r="A23" s="120" t="s">
        <v>233</v>
      </c>
      <c r="B23" s="101"/>
      <c r="C23" s="95"/>
      <c r="D23" s="95"/>
      <c r="E23" s="2" t="s">
        <v>50</v>
      </c>
      <c r="F23" s="25"/>
      <c r="G23" s="61">
        <f t="shared" si="0"/>
        <v>0</v>
      </c>
      <c r="H23" s="61">
        <f t="shared" si="1"/>
        <v>0</v>
      </c>
      <c r="I23" s="61">
        <f t="shared" si="2"/>
        <v>0</v>
      </c>
      <c r="J23" s="59">
        <f t="shared" si="3"/>
        <v>0</v>
      </c>
      <c r="K23" s="59">
        <f t="shared" si="4"/>
        <v>0</v>
      </c>
      <c r="L23" s="59">
        <f t="shared" si="5"/>
        <v>0</v>
      </c>
      <c r="M23" s="59">
        <f t="shared" si="6"/>
        <v>0</v>
      </c>
      <c r="N23" s="62">
        <f t="shared" si="7"/>
        <v>0</v>
      </c>
      <c r="O23" s="62">
        <f t="shared" si="8"/>
        <v>0</v>
      </c>
      <c r="P23" s="62">
        <f t="shared" si="9"/>
        <v>0</v>
      </c>
      <c r="Q23" s="62">
        <f t="shared" si="10"/>
        <v>0</v>
      </c>
      <c r="R23" s="62">
        <f t="shared" si="11"/>
        <v>0</v>
      </c>
      <c r="S23" s="59">
        <f t="shared" si="12"/>
        <v>0</v>
      </c>
      <c r="T23" s="26"/>
      <c r="U23" s="26"/>
    </row>
    <row r="24" spans="1:21" ht="15.75" x14ac:dyDescent="0.25">
      <c r="A24" s="120" t="s">
        <v>234</v>
      </c>
      <c r="B24" s="101"/>
      <c r="C24" s="95" t="s">
        <v>51</v>
      </c>
      <c r="D24" s="95" t="s">
        <v>52</v>
      </c>
      <c r="E24" s="17" t="s">
        <v>28</v>
      </c>
      <c r="F24" s="25"/>
      <c r="G24" s="61">
        <f t="shared" si="0"/>
        <v>0</v>
      </c>
      <c r="H24" s="61">
        <f t="shared" si="1"/>
        <v>0</v>
      </c>
      <c r="I24" s="61">
        <f t="shared" si="2"/>
        <v>0</v>
      </c>
      <c r="J24" s="59">
        <f t="shared" si="3"/>
        <v>0</v>
      </c>
      <c r="K24" s="59">
        <f t="shared" si="4"/>
        <v>0</v>
      </c>
      <c r="L24" s="59">
        <f t="shared" si="5"/>
        <v>0</v>
      </c>
      <c r="M24" s="59">
        <f t="shared" si="6"/>
        <v>0</v>
      </c>
      <c r="N24" s="62">
        <f t="shared" si="7"/>
        <v>0</v>
      </c>
      <c r="O24" s="62">
        <f t="shared" si="8"/>
        <v>0</v>
      </c>
      <c r="P24" s="62">
        <f t="shared" si="9"/>
        <v>0</v>
      </c>
      <c r="Q24" s="62">
        <f t="shared" si="10"/>
        <v>0</v>
      </c>
      <c r="R24" s="62">
        <f t="shared" si="11"/>
        <v>0</v>
      </c>
      <c r="S24" s="59">
        <f t="shared" si="12"/>
        <v>0</v>
      </c>
      <c r="T24" s="26"/>
      <c r="U24" s="26"/>
    </row>
    <row r="25" spans="1:21" ht="15.75" x14ac:dyDescent="0.25">
      <c r="A25" s="120" t="s">
        <v>235</v>
      </c>
      <c r="B25" s="101"/>
      <c r="C25" s="95"/>
      <c r="D25" s="95"/>
      <c r="E25" s="2" t="s">
        <v>29</v>
      </c>
      <c r="F25" s="25"/>
      <c r="G25" s="61">
        <f t="shared" si="0"/>
        <v>0</v>
      </c>
      <c r="H25" s="61">
        <f t="shared" si="1"/>
        <v>0</v>
      </c>
      <c r="I25" s="61">
        <f t="shared" si="2"/>
        <v>0</v>
      </c>
      <c r="J25" s="59">
        <f t="shared" si="3"/>
        <v>0</v>
      </c>
      <c r="K25" s="59">
        <f t="shared" si="4"/>
        <v>0</v>
      </c>
      <c r="L25" s="59">
        <f t="shared" si="5"/>
        <v>0</v>
      </c>
      <c r="M25" s="59">
        <f t="shared" si="6"/>
        <v>0</v>
      </c>
      <c r="N25" s="62">
        <f t="shared" si="7"/>
        <v>0</v>
      </c>
      <c r="O25" s="62">
        <f t="shared" si="8"/>
        <v>0</v>
      </c>
      <c r="P25" s="62">
        <f t="shared" si="9"/>
        <v>0</v>
      </c>
      <c r="Q25" s="62">
        <f t="shared" si="10"/>
        <v>0</v>
      </c>
      <c r="R25" s="62">
        <f t="shared" si="11"/>
        <v>0</v>
      </c>
      <c r="S25" s="59">
        <f t="shared" si="12"/>
        <v>0</v>
      </c>
      <c r="T25" s="26"/>
      <c r="U25" s="26"/>
    </row>
    <row r="26" spans="1:21" ht="19.149999999999999" customHeight="1" x14ac:dyDescent="0.25">
      <c r="A26" s="120" t="s">
        <v>236</v>
      </c>
      <c r="B26" s="101"/>
      <c r="C26" s="95"/>
      <c r="D26" s="95"/>
      <c r="E26" s="2" t="s">
        <v>53</v>
      </c>
      <c r="F26" s="25"/>
      <c r="G26" s="61">
        <f t="shared" si="0"/>
        <v>0</v>
      </c>
      <c r="H26" s="61">
        <f t="shared" si="1"/>
        <v>0</v>
      </c>
      <c r="I26" s="61">
        <f t="shared" si="2"/>
        <v>0</v>
      </c>
      <c r="J26" s="59">
        <f t="shared" si="3"/>
        <v>0</v>
      </c>
      <c r="K26" s="59">
        <f t="shared" si="4"/>
        <v>0</v>
      </c>
      <c r="L26" s="59">
        <f t="shared" si="5"/>
        <v>0</v>
      </c>
      <c r="M26" s="59">
        <f t="shared" si="6"/>
        <v>0</v>
      </c>
      <c r="N26" s="62">
        <f t="shared" si="7"/>
        <v>0</v>
      </c>
      <c r="O26" s="62">
        <f t="shared" si="8"/>
        <v>0</v>
      </c>
      <c r="P26" s="62">
        <f t="shared" si="9"/>
        <v>0</v>
      </c>
      <c r="Q26" s="62">
        <f t="shared" si="10"/>
        <v>0</v>
      </c>
      <c r="R26" s="62">
        <f t="shared" si="11"/>
        <v>0</v>
      </c>
      <c r="S26" s="59">
        <f t="shared" si="12"/>
        <v>0</v>
      </c>
      <c r="T26" s="26"/>
      <c r="U26" s="26"/>
    </row>
    <row r="27" spans="1:21" ht="15.75" x14ac:dyDescent="0.25">
      <c r="A27" s="120" t="s">
        <v>237</v>
      </c>
      <c r="B27" s="101"/>
      <c r="C27" s="95"/>
      <c r="D27" s="95" t="s">
        <v>54</v>
      </c>
      <c r="E27" s="17" t="s">
        <v>28</v>
      </c>
      <c r="F27" s="25"/>
      <c r="G27" s="61">
        <f t="shared" si="0"/>
        <v>0</v>
      </c>
      <c r="H27" s="61">
        <f t="shared" si="1"/>
        <v>0</v>
      </c>
      <c r="I27" s="61">
        <f t="shared" si="2"/>
        <v>0</v>
      </c>
      <c r="J27" s="59">
        <f t="shared" si="3"/>
        <v>0</v>
      </c>
      <c r="K27" s="59">
        <f t="shared" si="4"/>
        <v>0</v>
      </c>
      <c r="L27" s="59">
        <f t="shared" si="5"/>
        <v>0</v>
      </c>
      <c r="M27" s="59">
        <f t="shared" si="6"/>
        <v>0</v>
      </c>
      <c r="N27" s="62">
        <f t="shared" si="7"/>
        <v>0</v>
      </c>
      <c r="O27" s="62">
        <f t="shared" si="8"/>
        <v>0</v>
      </c>
      <c r="P27" s="62">
        <f t="shared" si="9"/>
        <v>0</v>
      </c>
      <c r="Q27" s="62">
        <f t="shared" si="10"/>
        <v>0</v>
      </c>
      <c r="R27" s="62">
        <f t="shared" si="11"/>
        <v>0</v>
      </c>
      <c r="S27" s="59">
        <f t="shared" si="12"/>
        <v>0</v>
      </c>
      <c r="T27" s="26"/>
      <c r="U27" s="26"/>
    </row>
    <row r="28" spans="1:21" ht="15.75" x14ac:dyDescent="0.25">
      <c r="A28" s="120" t="s">
        <v>238</v>
      </c>
      <c r="B28" s="101"/>
      <c r="C28" s="95"/>
      <c r="D28" s="95"/>
      <c r="E28" s="2" t="s">
        <v>29</v>
      </c>
      <c r="F28" s="25"/>
      <c r="G28" s="61">
        <f t="shared" si="0"/>
        <v>0</v>
      </c>
      <c r="H28" s="61">
        <f t="shared" si="1"/>
        <v>0</v>
      </c>
      <c r="I28" s="61">
        <f t="shared" si="2"/>
        <v>0</v>
      </c>
      <c r="J28" s="59">
        <f t="shared" si="3"/>
        <v>0</v>
      </c>
      <c r="K28" s="59">
        <f t="shared" si="4"/>
        <v>0</v>
      </c>
      <c r="L28" s="59">
        <f t="shared" si="5"/>
        <v>0</v>
      </c>
      <c r="M28" s="59">
        <f t="shared" si="6"/>
        <v>0</v>
      </c>
      <c r="N28" s="62">
        <f t="shared" si="7"/>
        <v>0</v>
      </c>
      <c r="O28" s="62">
        <f t="shared" si="8"/>
        <v>0</v>
      </c>
      <c r="P28" s="62">
        <f t="shared" si="9"/>
        <v>0</v>
      </c>
      <c r="Q28" s="62">
        <f t="shared" si="10"/>
        <v>0</v>
      </c>
      <c r="R28" s="62">
        <f t="shared" si="11"/>
        <v>0</v>
      </c>
      <c r="S28" s="59">
        <f t="shared" si="12"/>
        <v>0</v>
      </c>
      <c r="T28" s="26"/>
      <c r="U28" s="26"/>
    </row>
    <row r="29" spans="1:21" ht="15.75" x14ac:dyDescent="0.25">
      <c r="A29" s="120" t="s">
        <v>239</v>
      </c>
      <c r="B29" s="101"/>
      <c r="C29" s="95" t="s">
        <v>55</v>
      </c>
      <c r="D29" s="95" t="s">
        <v>56</v>
      </c>
      <c r="E29" s="17" t="s">
        <v>28</v>
      </c>
      <c r="F29" s="25"/>
      <c r="G29" s="61">
        <f t="shared" si="0"/>
        <v>0</v>
      </c>
      <c r="H29" s="61">
        <f t="shared" si="1"/>
        <v>0</v>
      </c>
      <c r="I29" s="61">
        <f t="shared" si="2"/>
        <v>0</v>
      </c>
      <c r="J29" s="59">
        <f t="shared" si="3"/>
        <v>0</v>
      </c>
      <c r="K29" s="59">
        <f t="shared" si="4"/>
        <v>0</v>
      </c>
      <c r="L29" s="59">
        <f t="shared" si="5"/>
        <v>0</v>
      </c>
      <c r="M29" s="59">
        <f t="shared" si="6"/>
        <v>0</v>
      </c>
      <c r="N29" s="62">
        <f t="shared" si="7"/>
        <v>0</v>
      </c>
      <c r="O29" s="62">
        <f t="shared" si="8"/>
        <v>0</v>
      </c>
      <c r="P29" s="62">
        <f t="shared" si="9"/>
        <v>0</v>
      </c>
      <c r="Q29" s="62">
        <f t="shared" si="10"/>
        <v>0</v>
      </c>
      <c r="R29" s="62">
        <f t="shared" si="11"/>
        <v>0</v>
      </c>
      <c r="S29" s="59">
        <f t="shared" si="12"/>
        <v>0</v>
      </c>
      <c r="T29" s="26"/>
      <c r="U29" s="26"/>
    </row>
    <row r="30" spans="1:21" ht="15.75" x14ac:dyDescent="0.25">
      <c r="A30" s="120" t="s">
        <v>240</v>
      </c>
      <c r="B30" s="101"/>
      <c r="C30" s="95"/>
      <c r="D30" s="95"/>
      <c r="E30" s="2" t="s">
        <v>29</v>
      </c>
      <c r="F30" s="25"/>
      <c r="G30" s="61">
        <f t="shared" si="0"/>
        <v>0</v>
      </c>
      <c r="H30" s="61">
        <f t="shared" si="1"/>
        <v>0</v>
      </c>
      <c r="I30" s="61">
        <f t="shared" si="2"/>
        <v>0</v>
      </c>
      <c r="J30" s="59">
        <f t="shared" si="3"/>
        <v>0</v>
      </c>
      <c r="K30" s="59">
        <f t="shared" si="4"/>
        <v>0</v>
      </c>
      <c r="L30" s="59">
        <f t="shared" si="5"/>
        <v>0</v>
      </c>
      <c r="M30" s="59">
        <f t="shared" si="6"/>
        <v>0</v>
      </c>
      <c r="N30" s="62">
        <f t="shared" si="7"/>
        <v>0</v>
      </c>
      <c r="O30" s="62">
        <f t="shared" si="8"/>
        <v>0</v>
      </c>
      <c r="P30" s="62">
        <f t="shared" si="9"/>
        <v>0</v>
      </c>
      <c r="Q30" s="62">
        <f t="shared" si="10"/>
        <v>0</v>
      </c>
      <c r="R30" s="62">
        <f t="shared" si="11"/>
        <v>0</v>
      </c>
      <c r="S30" s="59">
        <f t="shared" si="12"/>
        <v>0</v>
      </c>
      <c r="T30" s="26"/>
      <c r="U30" s="26"/>
    </row>
    <row r="31" spans="1:21" ht="15.75" x14ac:dyDescent="0.25">
      <c r="A31" s="120" t="s">
        <v>241</v>
      </c>
      <c r="B31" s="101"/>
      <c r="C31" s="95"/>
      <c r="D31" s="95"/>
      <c r="E31" s="2" t="s">
        <v>57</v>
      </c>
      <c r="F31" s="25"/>
      <c r="G31" s="61">
        <f t="shared" si="0"/>
        <v>0</v>
      </c>
      <c r="H31" s="61">
        <f t="shared" si="1"/>
        <v>0</v>
      </c>
      <c r="I31" s="61">
        <f t="shared" si="2"/>
        <v>0</v>
      </c>
      <c r="J31" s="59">
        <f t="shared" si="3"/>
        <v>0</v>
      </c>
      <c r="K31" s="59">
        <f t="shared" si="4"/>
        <v>0</v>
      </c>
      <c r="L31" s="59">
        <f t="shared" si="5"/>
        <v>0</v>
      </c>
      <c r="M31" s="59">
        <f t="shared" si="6"/>
        <v>0</v>
      </c>
      <c r="N31" s="62">
        <f t="shared" si="7"/>
        <v>0</v>
      </c>
      <c r="O31" s="62">
        <f t="shared" si="8"/>
        <v>0</v>
      </c>
      <c r="P31" s="62">
        <f t="shared" si="9"/>
        <v>0</v>
      </c>
      <c r="Q31" s="62">
        <f t="shared" si="10"/>
        <v>0</v>
      </c>
      <c r="R31" s="62">
        <f t="shared" si="11"/>
        <v>0</v>
      </c>
      <c r="S31" s="59">
        <f t="shared" si="12"/>
        <v>0</v>
      </c>
      <c r="T31" s="26"/>
      <c r="U31" s="26"/>
    </row>
    <row r="32" spans="1:21" ht="15.75" x14ac:dyDescent="0.25">
      <c r="A32" s="120" t="s">
        <v>242</v>
      </c>
      <c r="B32" s="101"/>
      <c r="C32" s="95"/>
      <c r="D32" s="97" t="s">
        <v>58</v>
      </c>
      <c r="E32" s="17" t="s">
        <v>28</v>
      </c>
      <c r="F32" s="25"/>
      <c r="G32" s="61">
        <f t="shared" si="0"/>
        <v>0</v>
      </c>
      <c r="H32" s="61">
        <f t="shared" si="1"/>
        <v>0</v>
      </c>
      <c r="I32" s="61">
        <f t="shared" si="2"/>
        <v>0</v>
      </c>
      <c r="J32" s="59">
        <f t="shared" si="3"/>
        <v>0</v>
      </c>
      <c r="K32" s="59">
        <f t="shared" si="4"/>
        <v>0</v>
      </c>
      <c r="L32" s="59">
        <f t="shared" si="5"/>
        <v>0</v>
      </c>
      <c r="M32" s="59">
        <f t="shared" si="6"/>
        <v>0</v>
      </c>
      <c r="N32" s="62">
        <f t="shared" si="7"/>
        <v>0</v>
      </c>
      <c r="O32" s="62">
        <f t="shared" si="8"/>
        <v>0</v>
      </c>
      <c r="P32" s="62">
        <f t="shared" si="9"/>
        <v>0</v>
      </c>
      <c r="Q32" s="62">
        <f t="shared" si="10"/>
        <v>0</v>
      </c>
      <c r="R32" s="62">
        <f t="shared" si="11"/>
        <v>0</v>
      </c>
      <c r="S32" s="59">
        <f t="shared" si="12"/>
        <v>0</v>
      </c>
      <c r="T32" s="26"/>
      <c r="U32" s="26"/>
    </row>
    <row r="33" spans="1:21" ht="15.75" x14ac:dyDescent="0.25">
      <c r="A33" s="120" t="s">
        <v>243</v>
      </c>
      <c r="B33" s="101"/>
      <c r="C33" s="95"/>
      <c r="D33" s="97"/>
      <c r="E33" s="2" t="s">
        <v>29</v>
      </c>
      <c r="F33" s="25"/>
      <c r="G33" s="61">
        <f t="shared" si="0"/>
        <v>0</v>
      </c>
      <c r="H33" s="61">
        <f t="shared" si="1"/>
        <v>0</v>
      </c>
      <c r="I33" s="61">
        <f t="shared" si="2"/>
        <v>0</v>
      </c>
      <c r="J33" s="59">
        <f t="shared" si="3"/>
        <v>0</v>
      </c>
      <c r="K33" s="59">
        <f t="shared" si="4"/>
        <v>0</v>
      </c>
      <c r="L33" s="59">
        <f t="shared" si="5"/>
        <v>0</v>
      </c>
      <c r="M33" s="59">
        <f t="shared" si="6"/>
        <v>0</v>
      </c>
      <c r="N33" s="62">
        <f t="shared" si="7"/>
        <v>0</v>
      </c>
      <c r="O33" s="62">
        <f t="shared" si="8"/>
        <v>0</v>
      </c>
      <c r="P33" s="62">
        <f t="shared" si="9"/>
        <v>0</v>
      </c>
      <c r="Q33" s="62">
        <f t="shared" si="10"/>
        <v>0</v>
      </c>
      <c r="R33" s="62">
        <f t="shared" si="11"/>
        <v>0</v>
      </c>
      <c r="S33" s="59">
        <f t="shared" si="12"/>
        <v>0</v>
      </c>
      <c r="T33" s="26"/>
      <c r="U33" s="26"/>
    </row>
    <row r="34" spans="1:21" ht="15.75" x14ac:dyDescent="0.25">
      <c r="A34" s="120" t="s">
        <v>244</v>
      </c>
      <c r="B34" s="101"/>
      <c r="C34" s="95"/>
      <c r="D34" s="97"/>
      <c r="E34" s="2" t="s">
        <v>35</v>
      </c>
      <c r="F34" s="25"/>
      <c r="G34" s="61">
        <f t="shared" si="0"/>
        <v>0</v>
      </c>
      <c r="H34" s="61">
        <f t="shared" si="1"/>
        <v>0</v>
      </c>
      <c r="I34" s="61">
        <f t="shared" si="2"/>
        <v>0</v>
      </c>
      <c r="J34" s="59">
        <f t="shared" si="3"/>
        <v>0</v>
      </c>
      <c r="K34" s="59">
        <f t="shared" si="4"/>
        <v>0</v>
      </c>
      <c r="L34" s="59">
        <f t="shared" si="5"/>
        <v>0</v>
      </c>
      <c r="M34" s="59">
        <f t="shared" si="6"/>
        <v>0</v>
      </c>
      <c r="N34" s="62">
        <f t="shared" si="7"/>
        <v>0</v>
      </c>
      <c r="O34" s="62">
        <f t="shared" si="8"/>
        <v>0</v>
      </c>
      <c r="P34" s="62">
        <f t="shared" si="9"/>
        <v>0</v>
      </c>
      <c r="Q34" s="62">
        <f t="shared" si="10"/>
        <v>0</v>
      </c>
      <c r="R34" s="62">
        <f t="shared" si="11"/>
        <v>0</v>
      </c>
      <c r="S34" s="59">
        <f t="shared" si="12"/>
        <v>0</v>
      </c>
      <c r="T34" s="26"/>
      <c r="U34" s="26"/>
    </row>
    <row r="35" spans="1:21" ht="15.75" x14ac:dyDescent="0.25">
      <c r="A35" s="120" t="s">
        <v>245</v>
      </c>
      <c r="B35" s="101"/>
      <c r="C35" s="95" t="s">
        <v>59</v>
      </c>
      <c r="D35" s="95" t="s">
        <v>60</v>
      </c>
      <c r="E35" s="17" t="s">
        <v>61</v>
      </c>
      <c r="F35" s="25"/>
      <c r="G35" s="61">
        <f t="shared" si="0"/>
        <v>0</v>
      </c>
      <c r="H35" s="61">
        <f t="shared" si="1"/>
        <v>0</v>
      </c>
      <c r="I35" s="61">
        <f t="shared" si="2"/>
        <v>0</v>
      </c>
      <c r="J35" s="59">
        <f t="shared" si="3"/>
        <v>0</v>
      </c>
      <c r="K35" s="59">
        <f t="shared" si="4"/>
        <v>0</v>
      </c>
      <c r="L35" s="59">
        <f t="shared" si="5"/>
        <v>0</v>
      </c>
      <c r="M35" s="59">
        <f t="shared" si="6"/>
        <v>0</v>
      </c>
      <c r="N35" s="62">
        <f t="shared" si="7"/>
        <v>0</v>
      </c>
      <c r="O35" s="62">
        <f t="shared" si="8"/>
        <v>0</v>
      </c>
      <c r="P35" s="62">
        <f t="shared" si="9"/>
        <v>0</v>
      </c>
      <c r="Q35" s="62">
        <f t="shared" si="10"/>
        <v>0</v>
      </c>
      <c r="R35" s="62">
        <f t="shared" si="11"/>
        <v>0</v>
      </c>
      <c r="S35" s="59">
        <f t="shared" si="12"/>
        <v>0</v>
      </c>
      <c r="T35" s="26"/>
      <c r="U35" s="26"/>
    </row>
    <row r="36" spans="1:21" ht="15.75" x14ac:dyDescent="0.25">
      <c r="A36" s="120" t="s">
        <v>246</v>
      </c>
      <c r="B36" s="101"/>
      <c r="C36" s="95"/>
      <c r="D36" s="95"/>
      <c r="E36" s="2" t="s">
        <v>62</v>
      </c>
      <c r="F36" s="25"/>
      <c r="G36" s="61">
        <f t="shared" si="0"/>
        <v>0</v>
      </c>
      <c r="H36" s="61">
        <f t="shared" si="1"/>
        <v>0</v>
      </c>
      <c r="I36" s="61">
        <f t="shared" si="2"/>
        <v>0</v>
      </c>
      <c r="J36" s="59">
        <f t="shared" si="3"/>
        <v>0</v>
      </c>
      <c r="K36" s="59">
        <f t="shared" si="4"/>
        <v>0</v>
      </c>
      <c r="L36" s="59">
        <f t="shared" si="5"/>
        <v>0</v>
      </c>
      <c r="M36" s="59">
        <f t="shared" si="6"/>
        <v>0</v>
      </c>
      <c r="N36" s="62">
        <f t="shared" si="7"/>
        <v>0</v>
      </c>
      <c r="O36" s="62">
        <f t="shared" si="8"/>
        <v>0</v>
      </c>
      <c r="P36" s="62">
        <f t="shared" si="9"/>
        <v>0</v>
      </c>
      <c r="Q36" s="62">
        <f t="shared" si="10"/>
        <v>0</v>
      </c>
      <c r="R36" s="62">
        <f t="shared" si="11"/>
        <v>0</v>
      </c>
      <c r="S36" s="59">
        <f t="shared" si="12"/>
        <v>0</v>
      </c>
      <c r="T36" s="26"/>
      <c r="U36" s="26"/>
    </row>
    <row r="37" spans="1:21" ht="15.75" x14ac:dyDescent="0.25">
      <c r="A37" s="120" t="s">
        <v>247</v>
      </c>
      <c r="B37" s="101" t="s">
        <v>63</v>
      </c>
      <c r="C37" s="95" t="s">
        <v>64</v>
      </c>
      <c r="D37" s="97" t="s">
        <v>65</v>
      </c>
      <c r="E37" s="17" t="s">
        <v>66</v>
      </c>
      <c r="F37" s="25"/>
      <c r="G37" s="61">
        <f t="shared" ref="G37:G68" si="13">IF(LEN(TRIM(F37)) = 4, 1,  IF(LEN(TRIM(F37)) &gt; 5, LEN(TRIM(F37))-LEN(SUBSTITUTE(TRIM(F37),",",""))+1, 0))</f>
        <v>0</v>
      </c>
      <c r="H37" s="61">
        <f t="shared" si="1"/>
        <v>0</v>
      </c>
      <c r="I37" s="61">
        <f t="shared" si="2"/>
        <v>0</v>
      </c>
      <c r="J37" s="59">
        <f t="shared" si="3"/>
        <v>0</v>
      </c>
      <c r="K37" s="59">
        <f t="shared" si="4"/>
        <v>0</v>
      </c>
      <c r="L37" s="59">
        <f t="shared" si="5"/>
        <v>0</v>
      </c>
      <c r="M37" s="59">
        <f t="shared" si="6"/>
        <v>0</v>
      </c>
      <c r="N37" s="62">
        <f t="shared" si="7"/>
        <v>0</v>
      </c>
      <c r="O37" s="62">
        <f t="shared" si="8"/>
        <v>0</v>
      </c>
      <c r="P37" s="62">
        <f t="shared" si="9"/>
        <v>0</v>
      </c>
      <c r="Q37" s="62">
        <f t="shared" si="10"/>
        <v>0</v>
      </c>
      <c r="R37" s="62">
        <f t="shared" si="11"/>
        <v>0</v>
      </c>
      <c r="S37" s="59">
        <f t="shared" si="12"/>
        <v>0</v>
      </c>
      <c r="T37" s="26"/>
      <c r="U37" s="26"/>
    </row>
    <row r="38" spans="1:21" ht="15.75" x14ac:dyDescent="0.25">
      <c r="A38" s="120" t="s">
        <v>248</v>
      </c>
      <c r="B38" s="101"/>
      <c r="C38" s="95"/>
      <c r="D38" s="97"/>
      <c r="E38" s="2" t="s">
        <v>67</v>
      </c>
      <c r="F38" s="25"/>
      <c r="G38" s="61">
        <f t="shared" si="13"/>
        <v>0</v>
      </c>
      <c r="H38" s="61">
        <f t="shared" si="1"/>
        <v>0</v>
      </c>
      <c r="I38" s="61">
        <f t="shared" si="2"/>
        <v>0</v>
      </c>
      <c r="J38" s="59">
        <f t="shared" si="3"/>
        <v>0</v>
      </c>
      <c r="K38" s="59">
        <f t="shared" si="4"/>
        <v>0</v>
      </c>
      <c r="L38" s="59">
        <f t="shared" si="5"/>
        <v>0</v>
      </c>
      <c r="M38" s="59">
        <f t="shared" si="6"/>
        <v>0</v>
      </c>
      <c r="N38" s="62">
        <f t="shared" si="7"/>
        <v>0</v>
      </c>
      <c r="O38" s="62">
        <f t="shared" si="8"/>
        <v>0</v>
      </c>
      <c r="P38" s="62">
        <f t="shared" si="9"/>
        <v>0</v>
      </c>
      <c r="Q38" s="62">
        <f t="shared" si="10"/>
        <v>0</v>
      </c>
      <c r="R38" s="62">
        <f t="shared" si="11"/>
        <v>0</v>
      </c>
      <c r="S38" s="59">
        <f t="shared" si="12"/>
        <v>0</v>
      </c>
      <c r="T38" s="26"/>
      <c r="U38" s="26"/>
    </row>
    <row r="39" spans="1:21" ht="15.75" x14ac:dyDescent="0.25">
      <c r="A39" s="120" t="s">
        <v>249</v>
      </c>
      <c r="B39" s="101"/>
      <c r="C39" s="95"/>
      <c r="D39" s="17" t="s">
        <v>68</v>
      </c>
      <c r="E39" s="1"/>
      <c r="F39" s="25"/>
      <c r="G39" s="61">
        <f t="shared" si="13"/>
        <v>0</v>
      </c>
      <c r="H39" s="61">
        <f t="shared" si="1"/>
        <v>0</v>
      </c>
      <c r="I39" s="61">
        <f t="shared" si="2"/>
        <v>0</v>
      </c>
      <c r="J39" s="59">
        <f t="shared" si="3"/>
        <v>0</v>
      </c>
      <c r="K39" s="59">
        <f t="shared" si="4"/>
        <v>0</v>
      </c>
      <c r="L39" s="59">
        <f t="shared" si="5"/>
        <v>0</v>
      </c>
      <c r="M39" s="59">
        <f t="shared" si="6"/>
        <v>0</v>
      </c>
      <c r="N39" s="62">
        <f t="shared" si="7"/>
        <v>0</v>
      </c>
      <c r="O39" s="62">
        <f t="shared" si="8"/>
        <v>0</v>
      </c>
      <c r="P39" s="62">
        <f t="shared" si="9"/>
        <v>0</v>
      </c>
      <c r="Q39" s="62">
        <f t="shared" si="10"/>
        <v>0</v>
      </c>
      <c r="R39" s="62">
        <f t="shared" si="11"/>
        <v>0</v>
      </c>
      <c r="S39" s="59">
        <f t="shared" si="12"/>
        <v>0</v>
      </c>
      <c r="T39" s="26"/>
      <c r="U39" s="26"/>
    </row>
    <row r="40" spans="1:21" ht="15.75" x14ac:dyDescent="0.25">
      <c r="A40" s="120" t="s">
        <v>250</v>
      </c>
      <c r="B40" s="101"/>
      <c r="C40" s="95"/>
      <c r="D40" s="2" t="s">
        <v>69</v>
      </c>
      <c r="E40" s="1"/>
      <c r="F40" s="25"/>
      <c r="G40" s="61">
        <f t="shared" si="13"/>
        <v>0</v>
      </c>
      <c r="H40" s="61">
        <f t="shared" si="1"/>
        <v>0</v>
      </c>
      <c r="I40" s="61">
        <f t="shared" si="2"/>
        <v>0</v>
      </c>
      <c r="J40" s="59">
        <f t="shared" si="3"/>
        <v>0</v>
      </c>
      <c r="K40" s="59">
        <f t="shared" si="4"/>
        <v>0</v>
      </c>
      <c r="L40" s="59">
        <f t="shared" si="5"/>
        <v>0</v>
      </c>
      <c r="M40" s="59">
        <f t="shared" si="6"/>
        <v>0</v>
      </c>
      <c r="N40" s="62">
        <f t="shared" si="7"/>
        <v>0</v>
      </c>
      <c r="O40" s="62">
        <f t="shared" si="8"/>
        <v>0</v>
      </c>
      <c r="P40" s="62">
        <f t="shared" si="9"/>
        <v>0</v>
      </c>
      <c r="Q40" s="62">
        <f t="shared" si="10"/>
        <v>0</v>
      </c>
      <c r="R40" s="62">
        <f t="shared" si="11"/>
        <v>0</v>
      </c>
      <c r="S40" s="59">
        <f t="shared" si="12"/>
        <v>0</v>
      </c>
      <c r="T40" s="26"/>
      <c r="U40" s="26"/>
    </row>
    <row r="41" spans="1:21" ht="15.75" x14ac:dyDescent="0.25">
      <c r="A41" s="120" t="s">
        <v>251</v>
      </c>
      <c r="B41" s="101"/>
      <c r="C41" s="95"/>
      <c r="D41" s="17" t="s">
        <v>70</v>
      </c>
      <c r="E41" s="1"/>
      <c r="F41" s="25"/>
      <c r="G41" s="61">
        <f t="shared" si="13"/>
        <v>0</v>
      </c>
      <c r="H41" s="61">
        <f t="shared" si="1"/>
        <v>0</v>
      </c>
      <c r="I41" s="61">
        <f t="shared" si="2"/>
        <v>0</v>
      </c>
      <c r="J41" s="59">
        <f t="shared" si="3"/>
        <v>0</v>
      </c>
      <c r="K41" s="59">
        <f t="shared" si="4"/>
        <v>0</v>
      </c>
      <c r="L41" s="59">
        <f t="shared" si="5"/>
        <v>0</v>
      </c>
      <c r="M41" s="59">
        <f t="shared" si="6"/>
        <v>0</v>
      </c>
      <c r="N41" s="62">
        <f t="shared" si="7"/>
        <v>0</v>
      </c>
      <c r="O41" s="62">
        <f t="shared" si="8"/>
        <v>0</v>
      </c>
      <c r="P41" s="62">
        <f t="shared" si="9"/>
        <v>0</v>
      </c>
      <c r="Q41" s="62">
        <f t="shared" si="10"/>
        <v>0</v>
      </c>
      <c r="R41" s="62">
        <f t="shared" si="11"/>
        <v>0</v>
      </c>
      <c r="S41" s="59">
        <f t="shared" si="12"/>
        <v>0</v>
      </c>
      <c r="T41" s="26"/>
      <c r="U41" s="26"/>
    </row>
    <row r="42" spans="1:21" ht="15.75" x14ac:dyDescent="0.25">
      <c r="A42" s="120" t="s">
        <v>252</v>
      </c>
      <c r="B42" s="101"/>
      <c r="C42" s="95" t="s">
        <v>71</v>
      </c>
      <c r="D42" s="95" t="s">
        <v>72</v>
      </c>
      <c r="E42" s="17" t="s">
        <v>73</v>
      </c>
      <c r="F42" s="25"/>
      <c r="G42" s="61">
        <f t="shared" si="13"/>
        <v>0</v>
      </c>
      <c r="H42" s="61">
        <f t="shared" si="1"/>
        <v>0</v>
      </c>
      <c r="I42" s="61">
        <f t="shared" si="2"/>
        <v>0</v>
      </c>
      <c r="J42" s="59">
        <f t="shared" si="3"/>
        <v>0</v>
      </c>
      <c r="K42" s="59">
        <f t="shared" si="4"/>
        <v>0</v>
      </c>
      <c r="L42" s="59">
        <f t="shared" si="5"/>
        <v>0</v>
      </c>
      <c r="M42" s="59">
        <f t="shared" si="6"/>
        <v>0</v>
      </c>
      <c r="N42" s="62">
        <f t="shared" si="7"/>
        <v>0</v>
      </c>
      <c r="O42" s="62">
        <f t="shared" si="8"/>
        <v>0</v>
      </c>
      <c r="P42" s="62">
        <f t="shared" si="9"/>
        <v>0</v>
      </c>
      <c r="Q42" s="62">
        <f t="shared" si="10"/>
        <v>0</v>
      </c>
      <c r="R42" s="62">
        <f t="shared" si="11"/>
        <v>0</v>
      </c>
      <c r="S42" s="59">
        <f t="shared" si="12"/>
        <v>0</v>
      </c>
      <c r="T42" s="26"/>
      <c r="U42" s="26"/>
    </row>
    <row r="43" spans="1:21" ht="15.75" x14ac:dyDescent="0.25">
      <c r="A43" s="120" t="s">
        <v>253</v>
      </c>
      <c r="B43" s="101"/>
      <c r="C43" s="95"/>
      <c r="D43" s="95"/>
      <c r="E43" s="2" t="s">
        <v>74</v>
      </c>
      <c r="F43" s="25"/>
      <c r="G43" s="61">
        <f t="shared" si="13"/>
        <v>0</v>
      </c>
      <c r="H43" s="61">
        <f t="shared" si="1"/>
        <v>0</v>
      </c>
      <c r="I43" s="61">
        <f t="shared" si="2"/>
        <v>0</v>
      </c>
      <c r="J43" s="59">
        <f t="shared" si="3"/>
        <v>0</v>
      </c>
      <c r="K43" s="59">
        <f t="shared" si="4"/>
        <v>0</v>
      </c>
      <c r="L43" s="59">
        <f t="shared" si="5"/>
        <v>0</v>
      </c>
      <c r="M43" s="59">
        <f t="shared" si="6"/>
        <v>0</v>
      </c>
      <c r="N43" s="62">
        <f t="shared" si="7"/>
        <v>0</v>
      </c>
      <c r="O43" s="62">
        <f t="shared" si="8"/>
        <v>0</v>
      </c>
      <c r="P43" s="62">
        <f t="shared" si="9"/>
        <v>0</v>
      </c>
      <c r="Q43" s="62">
        <f t="shared" si="10"/>
        <v>0</v>
      </c>
      <c r="R43" s="62">
        <f t="shared" si="11"/>
        <v>0</v>
      </c>
      <c r="S43" s="59">
        <f t="shared" si="12"/>
        <v>0</v>
      </c>
      <c r="T43" s="26"/>
      <c r="U43" s="26"/>
    </row>
    <row r="44" spans="1:21" ht="15.75" x14ac:dyDescent="0.25">
      <c r="A44" s="120" t="s">
        <v>254</v>
      </c>
      <c r="B44" s="101"/>
      <c r="C44" s="95"/>
      <c r="D44" s="95"/>
      <c r="E44" s="2" t="s">
        <v>75</v>
      </c>
      <c r="F44" s="25"/>
      <c r="G44" s="61">
        <f t="shared" si="13"/>
        <v>0</v>
      </c>
      <c r="H44" s="61">
        <f t="shared" si="1"/>
        <v>0</v>
      </c>
      <c r="I44" s="61">
        <f t="shared" si="2"/>
        <v>0</v>
      </c>
      <c r="J44" s="59">
        <f t="shared" si="3"/>
        <v>0</v>
      </c>
      <c r="K44" s="59">
        <f t="shared" si="4"/>
        <v>0</v>
      </c>
      <c r="L44" s="59">
        <f t="shared" si="5"/>
        <v>0</v>
      </c>
      <c r="M44" s="59">
        <f t="shared" si="6"/>
        <v>0</v>
      </c>
      <c r="N44" s="62">
        <f t="shared" si="7"/>
        <v>0</v>
      </c>
      <c r="O44" s="62">
        <f t="shared" si="8"/>
        <v>0</v>
      </c>
      <c r="P44" s="62">
        <f t="shared" si="9"/>
        <v>0</v>
      </c>
      <c r="Q44" s="62">
        <f t="shared" si="10"/>
        <v>0</v>
      </c>
      <c r="R44" s="62">
        <f t="shared" si="11"/>
        <v>0</v>
      </c>
      <c r="S44" s="59">
        <f t="shared" si="12"/>
        <v>0</v>
      </c>
      <c r="T44" s="26"/>
      <c r="U44" s="26"/>
    </row>
    <row r="45" spans="1:21" ht="15.75" x14ac:dyDescent="0.25">
      <c r="A45" s="120" t="s">
        <v>255</v>
      </c>
      <c r="B45" s="101"/>
      <c r="C45" s="95" t="s">
        <v>76</v>
      </c>
      <c r="D45" s="97" t="s">
        <v>77</v>
      </c>
      <c r="E45" s="17" t="s">
        <v>66</v>
      </c>
      <c r="F45" s="25"/>
      <c r="G45" s="61">
        <f t="shared" si="13"/>
        <v>0</v>
      </c>
      <c r="H45" s="61">
        <f t="shared" si="1"/>
        <v>0</v>
      </c>
      <c r="I45" s="61">
        <f t="shared" si="2"/>
        <v>0</v>
      </c>
      <c r="J45" s="59">
        <f t="shared" si="3"/>
        <v>0</v>
      </c>
      <c r="K45" s="59">
        <f t="shared" si="4"/>
        <v>0</v>
      </c>
      <c r="L45" s="59">
        <f t="shared" si="5"/>
        <v>0</v>
      </c>
      <c r="M45" s="59">
        <f t="shared" si="6"/>
        <v>0</v>
      </c>
      <c r="N45" s="62">
        <f t="shared" si="7"/>
        <v>0</v>
      </c>
      <c r="O45" s="62">
        <f t="shared" si="8"/>
        <v>0</v>
      </c>
      <c r="P45" s="62">
        <f t="shared" si="9"/>
        <v>0</v>
      </c>
      <c r="Q45" s="62">
        <f t="shared" si="10"/>
        <v>0</v>
      </c>
      <c r="R45" s="62">
        <f t="shared" si="11"/>
        <v>0</v>
      </c>
      <c r="S45" s="59">
        <f t="shared" si="12"/>
        <v>0</v>
      </c>
      <c r="T45" s="26"/>
      <c r="U45" s="26"/>
    </row>
    <row r="46" spans="1:21" ht="15.75" x14ac:dyDescent="0.25">
      <c r="A46" s="120" t="s">
        <v>256</v>
      </c>
      <c r="B46" s="101"/>
      <c r="C46" s="95"/>
      <c r="D46" s="97"/>
      <c r="E46" s="2" t="s">
        <v>78</v>
      </c>
      <c r="F46" s="25"/>
      <c r="G46" s="61">
        <f t="shared" si="13"/>
        <v>0</v>
      </c>
      <c r="H46" s="61">
        <f t="shared" si="1"/>
        <v>0</v>
      </c>
      <c r="I46" s="61">
        <f t="shared" si="2"/>
        <v>0</v>
      </c>
      <c r="J46" s="59">
        <f t="shared" si="3"/>
        <v>0</v>
      </c>
      <c r="K46" s="59">
        <f t="shared" si="4"/>
        <v>0</v>
      </c>
      <c r="L46" s="59">
        <f t="shared" si="5"/>
        <v>0</v>
      </c>
      <c r="M46" s="59">
        <f t="shared" si="6"/>
        <v>0</v>
      </c>
      <c r="N46" s="62">
        <f t="shared" si="7"/>
        <v>0</v>
      </c>
      <c r="O46" s="62">
        <f t="shared" si="8"/>
        <v>0</v>
      </c>
      <c r="P46" s="62">
        <f t="shared" si="9"/>
        <v>0</v>
      </c>
      <c r="Q46" s="62">
        <f t="shared" si="10"/>
        <v>0</v>
      </c>
      <c r="R46" s="62">
        <f t="shared" si="11"/>
        <v>0</v>
      </c>
      <c r="S46" s="59">
        <f t="shared" si="12"/>
        <v>0</v>
      </c>
      <c r="T46" s="26"/>
      <c r="U46" s="26"/>
    </row>
    <row r="47" spans="1:21" ht="15.75" x14ac:dyDescent="0.25">
      <c r="A47" s="120" t="s">
        <v>257</v>
      </c>
      <c r="B47" s="101"/>
      <c r="C47" s="95"/>
      <c r="D47" s="17" t="s">
        <v>79</v>
      </c>
      <c r="E47" s="1"/>
      <c r="F47" s="25"/>
      <c r="G47" s="61">
        <f t="shared" si="13"/>
        <v>0</v>
      </c>
      <c r="H47" s="61">
        <f t="shared" si="1"/>
        <v>0</v>
      </c>
      <c r="I47" s="61">
        <f t="shared" si="2"/>
        <v>0</v>
      </c>
      <c r="J47" s="59">
        <f t="shared" si="3"/>
        <v>0</v>
      </c>
      <c r="K47" s="59">
        <f t="shared" si="4"/>
        <v>0</v>
      </c>
      <c r="L47" s="59">
        <f t="shared" si="5"/>
        <v>0</v>
      </c>
      <c r="M47" s="59">
        <f t="shared" si="6"/>
        <v>0</v>
      </c>
      <c r="N47" s="62">
        <f t="shared" si="7"/>
        <v>0</v>
      </c>
      <c r="O47" s="62">
        <f t="shared" si="8"/>
        <v>0</v>
      </c>
      <c r="P47" s="62">
        <f t="shared" si="9"/>
        <v>0</v>
      </c>
      <c r="Q47" s="62">
        <f t="shared" si="10"/>
        <v>0</v>
      </c>
      <c r="R47" s="62">
        <f t="shared" si="11"/>
        <v>0</v>
      </c>
      <c r="S47" s="59">
        <f t="shared" si="12"/>
        <v>0</v>
      </c>
      <c r="T47" s="26"/>
      <c r="U47" s="26"/>
    </row>
    <row r="48" spans="1:21" ht="15.75" x14ac:dyDescent="0.25">
      <c r="A48" s="120" t="s">
        <v>258</v>
      </c>
      <c r="B48" s="101"/>
      <c r="C48" s="95"/>
      <c r="D48" s="2" t="s">
        <v>80</v>
      </c>
      <c r="E48" s="1"/>
      <c r="F48" s="25"/>
      <c r="G48" s="61">
        <f t="shared" si="13"/>
        <v>0</v>
      </c>
      <c r="H48" s="61">
        <f t="shared" si="1"/>
        <v>0</v>
      </c>
      <c r="I48" s="61">
        <f t="shared" si="2"/>
        <v>0</v>
      </c>
      <c r="J48" s="59">
        <f t="shared" si="3"/>
        <v>0</v>
      </c>
      <c r="K48" s="59">
        <f t="shared" si="4"/>
        <v>0</v>
      </c>
      <c r="L48" s="59">
        <f t="shared" si="5"/>
        <v>0</v>
      </c>
      <c r="M48" s="59">
        <f t="shared" si="6"/>
        <v>0</v>
      </c>
      <c r="N48" s="62">
        <f t="shared" si="7"/>
        <v>0</v>
      </c>
      <c r="O48" s="62">
        <f t="shared" si="8"/>
        <v>0</v>
      </c>
      <c r="P48" s="62">
        <f t="shared" si="9"/>
        <v>0</v>
      </c>
      <c r="Q48" s="62">
        <f t="shared" si="10"/>
        <v>0</v>
      </c>
      <c r="R48" s="62">
        <f t="shared" si="11"/>
        <v>0</v>
      </c>
      <c r="S48" s="59">
        <f t="shared" si="12"/>
        <v>0</v>
      </c>
      <c r="T48" s="26"/>
      <c r="U48" s="26"/>
    </row>
    <row r="49" spans="1:21" ht="15.75" x14ac:dyDescent="0.25">
      <c r="A49" s="120" t="s">
        <v>259</v>
      </c>
      <c r="B49" s="101"/>
      <c r="C49" s="95" t="s">
        <v>81</v>
      </c>
      <c r="D49" s="95" t="s">
        <v>82</v>
      </c>
      <c r="E49" s="17" t="s">
        <v>83</v>
      </c>
      <c r="F49" s="25"/>
      <c r="G49" s="61">
        <f t="shared" si="13"/>
        <v>0</v>
      </c>
      <c r="H49" s="61">
        <f t="shared" si="1"/>
        <v>0</v>
      </c>
      <c r="I49" s="61">
        <f t="shared" si="2"/>
        <v>0</v>
      </c>
      <c r="J49" s="59">
        <f t="shared" si="3"/>
        <v>0</v>
      </c>
      <c r="K49" s="59">
        <f t="shared" si="4"/>
        <v>0</v>
      </c>
      <c r="L49" s="59">
        <f t="shared" si="5"/>
        <v>0</v>
      </c>
      <c r="M49" s="59">
        <f t="shared" si="6"/>
        <v>0</v>
      </c>
      <c r="N49" s="62">
        <f t="shared" si="7"/>
        <v>0</v>
      </c>
      <c r="O49" s="62">
        <f t="shared" si="8"/>
        <v>0</v>
      </c>
      <c r="P49" s="62">
        <f t="shared" si="9"/>
        <v>0</v>
      </c>
      <c r="Q49" s="62">
        <f t="shared" si="10"/>
        <v>0</v>
      </c>
      <c r="R49" s="62">
        <f t="shared" si="11"/>
        <v>0</v>
      </c>
      <c r="S49" s="59">
        <f t="shared" si="12"/>
        <v>0</v>
      </c>
      <c r="T49" s="26"/>
      <c r="U49" s="26"/>
    </row>
    <row r="50" spans="1:21" ht="15.75" x14ac:dyDescent="0.25">
      <c r="A50" s="120" t="s">
        <v>260</v>
      </c>
      <c r="B50" s="101"/>
      <c r="C50" s="95"/>
      <c r="D50" s="95"/>
      <c r="E50" s="2" t="s">
        <v>84</v>
      </c>
      <c r="F50" s="25"/>
      <c r="G50" s="61">
        <f t="shared" si="13"/>
        <v>0</v>
      </c>
      <c r="H50" s="61">
        <f t="shared" si="1"/>
        <v>0</v>
      </c>
      <c r="I50" s="61">
        <f t="shared" si="2"/>
        <v>0</v>
      </c>
      <c r="J50" s="59">
        <f t="shared" si="3"/>
        <v>0</v>
      </c>
      <c r="K50" s="59">
        <f t="shared" si="4"/>
        <v>0</v>
      </c>
      <c r="L50" s="59">
        <f t="shared" si="5"/>
        <v>0</v>
      </c>
      <c r="M50" s="59">
        <f t="shared" si="6"/>
        <v>0</v>
      </c>
      <c r="N50" s="62">
        <f t="shared" si="7"/>
        <v>0</v>
      </c>
      <c r="O50" s="62">
        <f t="shared" si="8"/>
        <v>0</v>
      </c>
      <c r="P50" s="62">
        <f t="shared" si="9"/>
        <v>0</v>
      </c>
      <c r="Q50" s="62">
        <f t="shared" si="10"/>
        <v>0</v>
      </c>
      <c r="R50" s="62">
        <f t="shared" si="11"/>
        <v>0</v>
      </c>
      <c r="S50" s="59">
        <f t="shared" si="12"/>
        <v>0</v>
      </c>
      <c r="T50" s="26"/>
      <c r="U50" s="26"/>
    </row>
    <row r="51" spans="1:21" ht="15.75" x14ac:dyDescent="0.25">
      <c r="A51" s="120" t="s">
        <v>261</v>
      </c>
      <c r="B51" s="101" t="s">
        <v>85</v>
      </c>
      <c r="C51" s="100" t="s">
        <v>86</v>
      </c>
      <c r="D51" s="96" t="s">
        <v>87</v>
      </c>
      <c r="E51" s="12" t="s">
        <v>88</v>
      </c>
      <c r="F51" s="25"/>
      <c r="G51" s="61">
        <f t="shared" si="13"/>
        <v>0</v>
      </c>
      <c r="H51" s="61">
        <f t="shared" si="1"/>
        <v>0</v>
      </c>
      <c r="I51" s="61">
        <f t="shared" si="2"/>
        <v>0</v>
      </c>
      <c r="J51" s="59">
        <f t="shared" si="3"/>
        <v>0</v>
      </c>
      <c r="K51" s="59">
        <f t="shared" si="4"/>
        <v>0</v>
      </c>
      <c r="L51" s="59">
        <f t="shared" si="5"/>
        <v>0</v>
      </c>
      <c r="M51" s="59">
        <f t="shared" si="6"/>
        <v>0</v>
      </c>
      <c r="N51" s="62">
        <f t="shared" si="7"/>
        <v>0</v>
      </c>
      <c r="O51" s="62">
        <f t="shared" si="8"/>
        <v>0</v>
      </c>
      <c r="P51" s="62">
        <f t="shared" si="9"/>
        <v>0</v>
      </c>
      <c r="Q51" s="62">
        <f t="shared" si="10"/>
        <v>0</v>
      </c>
      <c r="R51" s="62">
        <f t="shared" si="11"/>
        <v>0</v>
      </c>
      <c r="S51" s="59">
        <f t="shared" si="12"/>
        <v>0</v>
      </c>
      <c r="T51" s="26"/>
      <c r="U51" s="26"/>
    </row>
    <row r="52" spans="1:21" ht="15.75" x14ac:dyDescent="0.25">
      <c r="A52" s="120" t="s">
        <v>262</v>
      </c>
      <c r="B52" s="101"/>
      <c r="C52" s="100"/>
      <c r="D52" s="96"/>
      <c r="E52" s="2" t="s">
        <v>89</v>
      </c>
      <c r="F52" s="25"/>
      <c r="G52" s="61">
        <f t="shared" si="13"/>
        <v>0</v>
      </c>
      <c r="H52" s="61">
        <f t="shared" si="1"/>
        <v>0</v>
      </c>
      <c r="I52" s="61">
        <f t="shared" si="2"/>
        <v>0</v>
      </c>
      <c r="J52" s="59">
        <f t="shared" si="3"/>
        <v>0</v>
      </c>
      <c r="K52" s="59">
        <f t="shared" si="4"/>
        <v>0</v>
      </c>
      <c r="L52" s="59">
        <f t="shared" si="5"/>
        <v>0</v>
      </c>
      <c r="M52" s="59">
        <f t="shared" si="6"/>
        <v>0</v>
      </c>
      <c r="N52" s="62">
        <f t="shared" si="7"/>
        <v>0</v>
      </c>
      <c r="O52" s="62">
        <f t="shared" si="8"/>
        <v>0</v>
      </c>
      <c r="P52" s="62">
        <f t="shared" si="9"/>
        <v>0</v>
      </c>
      <c r="Q52" s="62">
        <f t="shared" si="10"/>
        <v>0</v>
      </c>
      <c r="R52" s="62">
        <f t="shared" si="11"/>
        <v>0</v>
      </c>
      <c r="S52" s="59">
        <f t="shared" si="12"/>
        <v>0</v>
      </c>
      <c r="T52" s="26"/>
      <c r="U52" s="26"/>
    </row>
    <row r="53" spans="1:21" ht="15.75" x14ac:dyDescent="0.25">
      <c r="A53" s="120" t="s">
        <v>263</v>
      </c>
      <c r="B53" s="101"/>
      <c r="C53" s="100"/>
      <c r="D53" s="96"/>
      <c r="E53" s="2" t="s">
        <v>90</v>
      </c>
      <c r="F53" s="25"/>
      <c r="G53" s="61">
        <f t="shared" si="13"/>
        <v>0</v>
      </c>
      <c r="H53" s="61">
        <f t="shared" si="1"/>
        <v>0</v>
      </c>
      <c r="I53" s="61">
        <f t="shared" si="2"/>
        <v>0</v>
      </c>
      <c r="J53" s="59">
        <f t="shared" si="3"/>
        <v>0</v>
      </c>
      <c r="K53" s="59">
        <f t="shared" si="4"/>
        <v>0</v>
      </c>
      <c r="L53" s="59">
        <f t="shared" si="5"/>
        <v>0</v>
      </c>
      <c r="M53" s="59">
        <f t="shared" si="6"/>
        <v>0</v>
      </c>
      <c r="N53" s="62">
        <f t="shared" si="7"/>
        <v>0</v>
      </c>
      <c r="O53" s="62">
        <f t="shared" si="8"/>
        <v>0</v>
      </c>
      <c r="P53" s="62">
        <f t="shared" si="9"/>
        <v>0</v>
      </c>
      <c r="Q53" s="62">
        <f t="shared" si="10"/>
        <v>0</v>
      </c>
      <c r="R53" s="62">
        <f t="shared" si="11"/>
        <v>0</v>
      </c>
      <c r="S53" s="59">
        <f t="shared" si="12"/>
        <v>0</v>
      </c>
      <c r="T53" s="26"/>
      <c r="U53" s="26"/>
    </row>
    <row r="54" spans="1:21" ht="15.75" x14ac:dyDescent="0.25">
      <c r="A54" s="120" t="s">
        <v>264</v>
      </c>
      <c r="B54" s="101"/>
      <c r="C54" s="100"/>
      <c r="D54" s="96"/>
      <c r="E54" s="2" t="s">
        <v>91</v>
      </c>
      <c r="F54" s="25"/>
      <c r="G54" s="61">
        <f t="shared" si="13"/>
        <v>0</v>
      </c>
      <c r="H54" s="61">
        <f t="shared" si="1"/>
        <v>0</v>
      </c>
      <c r="I54" s="61">
        <f t="shared" si="2"/>
        <v>0</v>
      </c>
      <c r="J54" s="59">
        <f t="shared" si="3"/>
        <v>0</v>
      </c>
      <c r="K54" s="59">
        <f t="shared" si="4"/>
        <v>0</v>
      </c>
      <c r="L54" s="59">
        <f t="shared" si="5"/>
        <v>0</v>
      </c>
      <c r="M54" s="59">
        <f t="shared" si="6"/>
        <v>0</v>
      </c>
      <c r="N54" s="62">
        <f t="shared" si="7"/>
        <v>0</v>
      </c>
      <c r="O54" s="62">
        <f t="shared" si="8"/>
        <v>0</v>
      </c>
      <c r="P54" s="62">
        <f t="shared" si="9"/>
        <v>0</v>
      </c>
      <c r="Q54" s="62">
        <f t="shared" si="10"/>
        <v>0</v>
      </c>
      <c r="R54" s="62">
        <f t="shared" si="11"/>
        <v>0</v>
      </c>
      <c r="S54" s="59">
        <f t="shared" si="12"/>
        <v>0</v>
      </c>
      <c r="T54" s="26"/>
      <c r="U54" s="26"/>
    </row>
    <row r="55" spans="1:21" ht="15.75" x14ac:dyDescent="0.25">
      <c r="A55" s="120" t="s">
        <v>265</v>
      </c>
      <c r="B55" s="101"/>
      <c r="C55" s="100"/>
      <c r="D55" s="96"/>
      <c r="E55" s="2" t="s">
        <v>92</v>
      </c>
      <c r="F55" s="27" t="s">
        <v>93</v>
      </c>
      <c r="G55" s="61">
        <f t="shared" si="13"/>
        <v>0</v>
      </c>
      <c r="H55" s="61">
        <f t="shared" si="1"/>
        <v>0</v>
      </c>
      <c r="I55" s="61">
        <f t="shared" si="2"/>
        <v>0</v>
      </c>
      <c r="J55" s="59" t="str">
        <f t="shared" si="3"/>
        <v>NA</v>
      </c>
      <c r="K55" s="59" t="str">
        <f t="shared" si="4"/>
        <v>NA</v>
      </c>
      <c r="L55" s="59" t="str">
        <f t="shared" si="5"/>
        <v>NA</v>
      </c>
      <c r="M55" s="59">
        <f t="shared" si="6"/>
        <v>0</v>
      </c>
      <c r="N55" s="83" t="str">
        <f t="shared" si="7"/>
        <v>NA</v>
      </c>
      <c r="O55" s="83" t="str">
        <f t="shared" si="8"/>
        <v>NA</v>
      </c>
      <c r="P55" s="83" t="str">
        <f t="shared" si="9"/>
        <v>NA</v>
      </c>
      <c r="Q55" s="83" t="str">
        <f t="shared" si="10"/>
        <v>NA</v>
      </c>
      <c r="R55" s="83" t="str">
        <f t="shared" si="11"/>
        <v>NA</v>
      </c>
      <c r="S55" s="59">
        <f t="shared" si="12"/>
        <v>0</v>
      </c>
      <c r="T55" s="84" t="s">
        <v>93</v>
      </c>
      <c r="U55" s="84" t="s">
        <v>93</v>
      </c>
    </row>
    <row r="56" spans="1:21" ht="15.75" x14ac:dyDescent="0.25">
      <c r="A56" s="120" t="s">
        <v>266</v>
      </c>
      <c r="B56" s="101"/>
      <c r="C56" s="100" t="s">
        <v>94</v>
      </c>
      <c r="D56" s="96" t="s">
        <v>95</v>
      </c>
      <c r="E56" s="12" t="s">
        <v>66</v>
      </c>
      <c r="F56" s="25"/>
      <c r="G56" s="61">
        <f t="shared" si="13"/>
        <v>0</v>
      </c>
      <c r="H56" s="61">
        <f t="shared" si="1"/>
        <v>0</v>
      </c>
      <c r="I56" s="61">
        <f t="shared" si="2"/>
        <v>0</v>
      </c>
      <c r="J56" s="59">
        <f t="shared" si="3"/>
        <v>0</v>
      </c>
      <c r="K56" s="59">
        <f t="shared" si="4"/>
        <v>0</v>
      </c>
      <c r="L56" s="59">
        <f t="shared" si="5"/>
        <v>0</v>
      </c>
      <c r="M56" s="59">
        <f t="shared" si="6"/>
        <v>0</v>
      </c>
      <c r="N56" s="62">
        <f t="shared" si="7"/>
        <v>0</v>
      </c>
      <c r="O56" s="62">
        <f t="shared" si="8"/>
        <v>0</v>
      </c>
      <c r="P56" s="62">
        <f t="shared" si="9"/>
        <v>0</v>
      </c>
      <c r="Q56" s="62">
        <f t="shared" si="10"/>
        <v>0</v>
      </c>
      <c r="R56" s="62">
        <f t="shared" si="11"/>
        <v>0</v>
      </c>
      <c r="S56" s="59">
        <f t="shared" si="12"/>
        <v>0</v>
      </c>
      <c r="T56" s="26"/>
      <c r="U56" s="26"/>
    </row>
    <row r="57" spans="1:21" ht="15.75" x14ac:dyDescent="0.25">
      <c r="A57" s="120" t="s">
        <v>267</v>
      </c>
      <c r="B57" s="101"/>
      <c r="C57" s="100"/>
      <c r="D57" s="96"/>
      <c r="E57" s="15" t="s">
        <v>96</v>
      </c>
      <c r="F57" s="25"/>
      <c r="G57" s="61">
        <f t="shared" si="13"/>
        <v>0</v>
      </c>
      <c r="H57" s="61">
        <f t="shared" si="1"/>
        <v>0</v>
      </c>
      <c r="I57" s="61">
        <f t="shared" si="2"/>
        <v>0</v>
      </c>
      <c r="J57" s="59">
        <f t="shared" si="3"/>
        <v>0</v>
      </c>
      <c r="K57" s="59">
        <f t="shared" si="4"/>
        <v>0</v>
      </c>
      <c r="L57" s="59">
        <f t="shared" si="5"/>
        <v>0</v>
      </c>
      <c r="M57" s="59">
        <f t="shared" si="6"/>
        <v>0</v>
      </c>
      <c r="N57" s="62">
        <f t="shared" si="7"/>
        <v>0</v>
      </c>
      <c r="O57" s="62">
        <f t="shared" si="8"/>
        <v>0</v>
      </c>
      <c r="P57" s="62">
        <f t="shared" si="9"/>
        <v>0</v>
      </c>
      <c r="Q57" s="62">
        <f t="shared" si="10"/>
        <v>0</v>
      </c>
      <c r="R57" s="62">
        <f t="shared" si="11"/>
        <v>0</v>
      </c>
      <c r="S57" s="59">
        <f t="shared" si="12"/>
        <v>0</v>
      </c>
      <c r="T57" s="26"/>
      <c r="U57" s="26"/>
    </row>
    <row r="58" spans="1:21" ht="15.75" x14ac:dyDescent="0.25">
      <c r="A58" s="120" t="s">
        <v>268</v>
      </c>
      <c r="B58" s="101"/>
      <c r="C58" s="100"/>
      <c r="D58" s="96"/>
      <c r="E58" s="2" t="s">
        <v>97</v>
      </c>
      <c r="F58" s="25"/>
      <c r="G58" s="61">
        <f t="shared" si="13"/>
        <v>0</v>
      </c>
      <c r="H58" s="61">
        <f t="shared" si="1"/>
        <v>0</v>
      </c>
      <c r="I58" s="61">
        <f t="shared" si="2"/>
        <v>0</v>
      </c>
      <c r="J58" s="59">
        <f t="shared" si="3"/>
        <v>0</v>
      </c>
      <c r="K58" s="59">
        <f t="shared" si="4"/>
        <v>0</v>
      </c>
      <c r="L58" s="59">
        <f t="shared" si="5"/>
        <v>0</v>
      </c>
      <c r="M58" s="59">
        <f t="shared" si="6"/>
        <v>0</v>
      </c>
      <c r="N58" s="62">
        <f t="shared" si="7"/>
        <v>0</v>
      </c>
      <c r="O58" s="62">
        <f t="shared" si="8"/>
        <v>0</v>
      </c>
      <c r="P58" s="62">
        <f t="shared" si="9"/>
        <v>0</v>
      </c>
      <c r="Q58" s="62">
        <f t="shared" si="10"/>
        <v>0</v>
      </c>
      <c r="R58" s="62">
        <f t="shared" si="11"/>
        <v>0</v>
      </c>
      <c r="S58" s="59">
        <f t="shared" si="12"/>
        <v>0</v>
      </c>
      <c r="T58" s="26"/>
      <c r="U58" s="26"/>
    </row>
    <row r="59" spans="1:21" ht="15.75" x14ac:dyDescent="0.25">
      <c r="A59" s="120" t="s">
        <v>269</v>
      </c>
      <c r="B59" s="101"/>
      <c r="C59" s="100"/>
      <c r="D59" s="96"/>
      <c r="E59" s="2" t="s">
        <v>98</v>
      </c>
      <c r="F59" s="25"/>
      <c r="G59" s="61">
        <f t="shared" si="13"/>
        <v>0</v>
      </c>
      <c r="H59" s="61">
        <f t="shared" si="1"/>
        <v>0</v>
      </c>
      <c r="I59" s="61">
        <f t="shared" si="2"/>
        <v>0</v>
      </c>
      <c r="J59" s="59">
        <f t="shared" si="3"/>
        <v>0</v>
      </c>
      <c r="K59" s="59">
        <f t="shared" si="4"/>
        <v>0</v>
      </c>
      <c r="L59" s="59">
        <f t="shared" si="5"/>
        <v>0</v>
      </c>
      <c r="M59" s="59">
        <f t="shared" si="6"/>
        <v>0</v>
      </c>
      <c r="N59" s="62">
        <f t="shared" si="7"/>
        <v>0</v>
      </c>
      <c r="O59" s="62">
        <f t="shared" si="8"/>
        <v>0</v>
      </c>
      <c r="P59" s="62">
        <f t="shared" si="9"/>
        <v>0</v>
      </c>
      <c r="Q59" s="62">
        <f t="shared" si="10"/>
        <v>0</v>
      </c>
      <c r="R59" s="62">
        <f t="shared" si="11"/>
        <v>0</v>
      </c>
      <c r="S59" s="59">
        <f t="shared" si="12"/>
        <v>0</v>
      </c>
      <c r="T59" s="26"/>
      <c r="U59" s="26"/>
    </row>
    <row r="60" spans="1:21" ht="15.75" x14ac:dyDescent="0.25">
      <c r="A60" s="120" t="s">
        <v>270</v>
      </c>
      <c r="B60" s="101"/>
      <c r="C60" s="100"/>
      <c r="D60" s="96"/>
      <c r="E60" s="2" t="s">
        <v>99</v>
      </c>
      <c r="F60" s="25"/>
      <c r="G60" s="61">
        <f t="shared" si="13"/>
        <v>0</v>
      </c>
      <c r="H60" s="61">
        <f t="shared" si="1"/>
        <v>0</v>
      </c>
      <c r="I60" s="61">
        <f t="shared" si="2"/>
        <v>0</v>
      </c>
      <c r="J60" s="59">
        <f t="shared" si="3"/>
        <v>0</v>
      </c>
      <c r="K60" s="59">
        <f t="shared" si="4"/>
        <v>0</v>
      </c>
      <c r="L60" s="59">
        <f t="shared" si="5"/>
        <v>0</v>
      </c>
      <c r="M60" s="59">
        <f t="shared" si="6"/>
        <v>0</v>
      </c>
      <c r="N60" s="62">
        <f t="shared" si="7"/>
        <v>0</v>
      </c>
      <c r="O60" s="62">
        <f t="shared" si="8"/>
        <v>0</v>
      </c>
      <c r="P60" s="62">
        <f t="shared" si="9"/>
        <v>0</v>
      </c>
      <c r="Q60" s="62">
        <f t="shared" si="10"/>
        <v>0</v>
      </c>
      <c r="R60" s="62">
        <f t="shared" si="11"/>
        <v>0</v>
      </c>
      <c r="S60" s="59">
        <f t="shared" si="12"/>
        <v>0</v>
      </c>
      <c r="T60" s="26"/>
      <c r="U60" s="26"/>
    </row>
    <row r="61" spans="1:21" ht="15.75" x14ac:dyDescent="0.25">
      <c r="A61" s="120" t="s">
        <v>271</v>
      </c>
      <c r="B61" s="101"/>
      <c r="C61" s="100"/>
      <c r="D61" s="96"/>
      <c r="E61" s="2" t="s">
        <v>100</v>
      </c>
      <c r="F61" s="27" t="s">
        <v>93</v>
      </c>
      <c r="G61" s="61">
        <f t="shared" si="13"/>
        <v>0</v>
      </c>
      <c r="H61" s="61">
        <f t="shared" si="1"/>
        <v>0</v>
      </c>
      <c r="I61" s="61">
        <f t="shared" si="2"/>
        <v>0</v>
      </c>
      <c r="J61" s="59" t="str">
        <f t="shared" si="3"/>
        <v>NA</v>
      </c>
      <c r="K61" s="59" t="str">
        <f t="shared" si="4"/>
        <v>NA</v>
      </c>
      <c r="L61" s="59" t="str">
        <f t="shared" si="5"/>
        <v>NA</v>
      </c>
      <c r="M61" s="59">
        <f t="shared" si="6"/>
        <v>0</v>
      </c>
      <c r="N61" s="83" t="str">
        <f t="shared" si="7"/>
        <v>NA</v>
      </c>
      <c r="O61" s="83" t="str">
        <f t="shared" si="8"/>
        <v>NA</v>
      </c>
      <c r="P61" s="83" t="str">
        <f t="shared" si="9"/>
        <v>NA</v>
      </c>
      <c r="Q61" s="83" t="str">
        <f t="shared" si="10"/>
        <v>NA</v>
      </c>
      <c r="R61" s="83" t="str">
        <f t="shared" si="11"/>
        <v>NA</v>
      </c>
      <c r="S61" s="59">
        <f t="shared" si="12"/>
        <v>0</v>
      </c>
      <c r="T61" s="84" t="s">
        <v>93</v>
      </c>
      <c r="U61" s="84" t="s">
        <v>93</v>
      </c>
    </row>
    <row r="62" spans="1:21" ht="15.75" x14ac:dyDescent="0.25">
      <c r="A62" s="120" t="s">
        <v>272</v>
      </c>
      <c r="B62" s="101"/>
      <c r="C62" s="100" t="s">
        <v>101</v>
      </c>
      <c r="D62" s="96" t="s">
        <v>102</v>
      </c>
      <c r="E62" s="12" t="s">
        <v>66</v>
      </c>
      <c r="F62" s="25"/>
      <c r="G62" s="61">
        <f t="shared" si="13"/>
        <v>0</v>
      </c>
      <c r="H62" s="61">
        <f t="shared" si="1"/>
        <v>0</v>
      </c>
      <c r="I62" s="61">
        <f t="shared" si="2"/>
        <v>0</v>
      </c>
      <c r="J62" s="59">
        <f t="shared" si="3"/>
        <v>0</v>
      </c>
      <c r="K62" s="59">
        <f t="shared" si="4"/>
        <v>0</v>
      </c>
      <c r="L62" s="59">
        <f t="shared" si="5"/>
        <v>0</v>
      </c>
      <c r="M62" s="59">
        <f t="shared" si="6"/>
        <v>0</v>
      </c>
      <c r="N62" s="62">
        <f t="shared" si="7"/>
        <v>0</v>
      </c>
      <c r="O62" s="62">
        <f t="shared" si="8"/>
        <v>0</v>
      </c>
      <c r="P62" s="62">
        <f t="shared" si="9"/>
        <v>0</v>
      </c>
      <c r="Q62" s="62">
        <f t="shared" si="10"/>
        <v>0</v>
      </c>
      <c r="R62" s="62">
        <f t="shared" si="11"/>
        <v>0</v>
      </c>
      <c r="S62" s="59">
        <f t="shared" si="12"/>
        <v>0</v>
      </c>
      <c r="T62" s="26"/>
      <c r="U62" s="26"/>
    </row>
    <row r="63" spans="1:21" ht="15.75" x14ac:dyDescent="0.25">
      <c r="A63" s="120" t="s">
        <v>273</v>
      </c>
      <c r="B63" s="101"/>
      <c r="C63" s="100"/>
      <c r="D63" s="96"/>
      <c r="E63" s="2" t="s">
        <v>103</v>
      </c>
      <c r="F63" s="25"/>
      <c r="G63" s="61">
        <f t="shared" si="13"/>
        <v>0</v>
      </c>
      <c r="H63" s="61">
        <f t="shared" si="1"/>
        <v>0</v>
      </c>
      <c r="I63" s="61">
        <f t="shared" si="2"/>
        <v>0</v>
      </c>
      <c r="J63" s="59">
        <f t="shared" si="3"/>
        <v>0</v>
      </c>
      <c r="K63" s="59">
        <f t="shared" si="4"/>
        <v>0</v>
      </c>
      <c r="L63" s="59">
        <f t="shared" si="5"/>
        <v>0</v>
      </c>
      <c r="M63" s="59">
        <f t="shared" si="6"/>
        <v>0</v>
      </c>
      <c r="N63" s="62">
        <f t="shared" si="7"/>
        <v>0</v>
      </c>
      <c r="O63" s="62">
        <f t="shared" si="8"/>
        <v>0</v>
      </c>
      <c r="P63" s="62">
        <f t="shared" si="9"/>
        <v>0</v>
      </c>
      <c r="Q63" s="62">
        <f t="shared" si="10"/>
        <v>0</v>
      </c>
      <c r="R63" s="62">
        <f t="shared" si="11"/>
        <v>0</v>
      </c>
      <c r="S63" s="59">
        <f t="shared" si="12"/>
        <v>0</v>
      </c>
      <c r="T63" s="26"/>
      <c r="U63" s="26"/>
    </row>
    <row r="64" spans="1:21" ht="15.75" x14ac:dyDescent="0.25">
      <c r="A64" s="120" t="s">
        <v>274</v>
      </c>
      <c r="B64" s="101"/>
      <c r="C64" s="100"/>
      <c r="D64" s="96"/>
      <c r="E64" s="2" t="s">
        <v>104</v>
      </c>
      <c r="F64" s="27" t="s">
        <v>93</v>
      </c>
      <c r="G64" s="61">
        <f t="shared" si="13"/>
        <v>0</v>
      </c>
      <c r="H64" s="61">
        <f t="shared" si="1"/>
        <v>0</v>
      </c>
      <c r="I64" s="61">
        <f t="shared" si="2"/>
        <v>0</v>
      </c>
      <c r="J64" s="59" t="str">
        <f t="shared" si="3"/>
        <v>NA</v>
      </c>
      <c r="K64" s="59" t="str">
        <f t="shared" si="4"/>
        <v>NA</v>
      </c>
      <c r="L64" s="59" t="str">
        <f t="shared" si="5"/>
        <v>NA</v>
      </c>
      <c r="M64" s="59">
        <f t="shared" si="6"/>
        <v>0</v>
      </c>
      <c r="N64" s="83" t="str">
        <f t="shared" si="7"/>
        <v>NA</v>
      </c>
      <c r="O64" s="83" t="str">
        <f t="shared" si="8"/>
        <v>NA</v>
      </c>
      <c r="P64" s="83" t="str">
        <f t="shared" si="9"/>
        <v>NA</v>
      </c>
      <c r="Q64" s="83" t="str">
        <f t="shared" si="10"/>
        <v>NA</v>
      </c>
      <c r="R64" s="83" t="str">
        <f t="shared" si="11"/>
        <v>NA</v>
      </c>
      <c r="S64" s="59">
        <f t="shared" si="12"/>
        <v>0</v>
      </c>
      <c r="T64" s="84" t="s">
        <v>93</v>
      </c>
      <c r="U64" s="84" t="s">
        <v>93</v>
      </c>
    </row>
    <row r="65" spans="1:21" ht="15.75" x14ac:dyDescent="0.25">
      <c r="A65" s="120" t="s">
        <v>275</v>
      </c>
      <c r="B65" s="101"/>
      <c r="C65" s="100"/>
      <c r="D65" s="96"/>
      <c r="E65" s="2" t="s">
        <v>105</v>
      </c>
      <c r="F65" s="27" t="s">
        <v>93</v>
      </c>
      <c r="G65" s="61">
        <f t="shared" si="13"/>
        <v>0</v>
      </c>
      <c r="H65" s="61">
        <f t="shared" si="1"/>
        <v>0</v>
      </c>
      <c r="I65" s="61">
        <f t="shared" si="2"/>
        <v>0</v>
      </c>
      <c r="J65" s="59" t="str">
        <f t="shared" si="3"/>
        <v>NA</v>
      </c>
      <c r="K65" s="59" t="str">
        <f t="shared" si="4"/>
        <v>NA</v>
      </c>
      <c r="L65" s="59" t="str">
        <f t="shared" si="5"/>
        <v>NA</v>
      </c>
      <c r="M65" s="59">
        <f t="shared" si="6"/>
        <v>0</v>
      </c>
      <c r="N65" s="83" t="str">
        <f t="shared" si="7"/>
        <v>NA</v>
      </c>
      <c r="O65" s="83" t="str">
        <f t="shared" si="8"/>
        <v>NA</v>
      </c>
      <c r="P65" s="83" t="str">
        <f t="shared" si="9"/>
        <v>NA</v>
      </c>
      <c r="Q65" s="83" t="str">
        <f t="shared" si="10"/>
        <v>NA</v>
      </c>
      <c r="R65" s="83" t="str">
        <f t="shared" si="11"/>
        <v>NA</v>
      </c>
      <c r="S65" s="59">
        <f t="shared" si="12"/>
        <v>0</v>
      </c>
      <c r="T65" s="84" t="s">
        <v>93</v>
      </c>
      <c r="U65" s="84" t="s">
        <v>93</v>
      </c>
    </row>
    <row r="66" spans="1:21" ht="15.75" customHeight="1" x14ac:dyDescent="0.25">
      <c r="A66" s="120" t="s">
        <v>276</v>
      </c>
      <c r="B66" s="88" t="s">
        <v>106</v>
      </c>
      <c r="C66" s="100" t="s">
        <v>107</v>
      </c>
      <c r="D66" s="96" t="s">
        <v>108</v>
      </c>
      <c r="E66" s="12" t="s">
        <v>28</v>
      </c>
      <c r="F66" s="25"/>
      <c r="G66" s="61">
        <f t="shared" si="13"/>
        <v>0</v>
      </c>
      <c r="H66" s="61">
        <f t="shared" si="1"/>
        <v>0</v>
      </c>
      <c r="I66" s="61">
        <f t="shared" si="2"/>
        <v>0</v>
      </c>
      <c r="J66" s="59">
        <f t="shared" si="3"/>
        <v>0</v>
      </c>
      <c r="K66" s="59">
        <f t="shared" si="4"/>
        <v>0</v>
      </c>
      <c r="L66" s="59">
        <f t="shared" si="5"/>
        <v>0</v>
      </c>
      <c r="M66" s="59">
        <f t="shared" si="6"/>
        <v>0</v>
      </c>
      <c r="N66" s="62">
        <f t="shared" si="7"/>
        <v>0</v>
      </c>
      <c r="O66" s="62">
        <f t="shared" si="8"/>
        <v>0</v>
      </c>
      <c r="P66" s="62">
        <f t="shared" si="9"/>
        <v>0</v>
      </c>
      <c r="Q66" s="62">
        <f t="shared" si="10"/>
        <v>0</v>
      </c>
      <c r="R66" s="62">
        <f t="shared" si="11"/>
        <v>0</v>
      </c>
      <c r="S66" s="59">
        <f t="shared" si="12"/>
        <v>0</v>
      </c>
      <c r="T66" s="26"/>
      <c r="U66" s="26"/>
    </row>
    <row r="67" spans="1:21" ht="15.75" x14ac:dyDescent="0.25">
      <c r="A67" s="120" t="s">
        <v>277</v>
      </c>
      <c r="B67" s="89"/>
      <c r="C67" s="100"/>
      <c r="D67" s="96"/>
      <c r="E67" s="15" t="s">
        <v>109</v>
      </c>
      <c r="F67" s="25"/>
      <c r="G67" s="61">
        <f t="shared" si="13"/>
        <v>0</v>
      </c>
      <c r="H67" s="61">
        <f t="shared" si="1"/>
        <v>0</v>
      </c>
      <c r="I67" s="61">
        <f t="shared" si="2"/>
        <v>0</v>
      </c>
      <c r="J67" s="59">
        <f t="shared" si="3"/>
        <v>0</v>
      </c>
      <c r="K67" s="59">
        <f t="shared" si="4"/>
        <v>0</v>
      </c>
      <c r="L67" s="59">
        <f t="shared" si="5"/>
        <v>0</v>
      </c>
      <c r="M67" s="59">
        <f t="shared" si="6"/>
        <v>0</v>
      </c>
      <c r="N67" s="62">
        <f t="shared" si="7"/>
        <v>0</v>
      </c>
      <c r="O67" s="62">
        <f t="shared" si="8"/>
        <v>0</v>
      </c>
      <c r="P67" s="62">
        <f t="shared" si="9"/>
        <v>0</v>
      </c>
      <c r="Q67" s="62">
        <f t="shared" si="10"/>
        <v>0</v>
      </c>
      <c r="R67" s="62">
        <f t="shared" si="11"/>
        <v>0</v>
      </c>
      <c r="S67" s="59">
        <f t="shared" si="12"/>
        <v>0</v>
      </c>
      <c r="T67" s="26"/>
      <c r="U67" s="26"/>
    </row>
    <row r="68" spans="1:21" ht="15.75" x14ac:dyDescent="0.25">
      <c r="A68" s="120" t="s">
        <v>278</v>
      </c>
      <c r="B68" s="89"/>
      <c r="C68" s="100"/>
      <c r="D68" s="96"/>
      <c r="E68" s="15" t="s">
        <v>110</v>
      </c>
      <c r="F68" s="27" t="s">
        <v>93</v>
      </c>
      <c r="G68" s="61">
        <f t="shared" si="13"/>
        <v>0</v>
      </c>
      <c r="H68" s="61">
        <f t="shared" si="1"/>
        <v>0</v>
      </c>
      <c r="I68" s="61">
        <f t="shared" si="2"/>
        <v>0</v>
      </c>
      <c r="J68" s="59" t="str">
        <f t="shared" si="3"/>
        <v>NA</v>
      </c>
      <c r="K68" s="59" t="str">
        <f t="shared" si="4"/>
        <v>NA</v>
      </c>
      <c r="L68" s="59" t="str">
        <f t="shared" si="5"/>
        <v>NA</v>
      </c>
      <c r="M68" s="59">
        <f t="shared" si="6"/>
        <v>0</v>
      </c>
      <c r="N68" s="83" t="str">
        <f t="shared" si="7"/>
        <v>NA</v>
      </c>
      <c r="O68" s="83" t="str">
        <f t="shared" si="8"/>
        <v>NA</v>
      </c>
      <c r="P68" s="83" t="str">
        <f t="shared" si="9"/>
        <v>NA</v>
      </c>
      <c r="Q68" s="83" t="str">
        <f t="shared" si="10"/>
        <v>NA</v>
      </c>
      <c r="R68" s="83" t="str">
        <f t="shared" si="11"/>
        <v>NA</v>
      </c>
      <c r="S68" s="59">
        <f t="shared" si="12"/>
        <v>0</v>
      </c>
      <c r="T68" s="84" t="s">
        <v>93</v>
      </c>
      <c r="U68" s="84" t="s">
        <v>93</v>
      </c>
    </row>
    <row r="69" spans="1:21" ht="15.75" x14ac:dyDescent="0.25">
      <c r="A69" s="120" t="s">
        <v>279</v>
      </c>
      <c r="B69" s="89"/>
      <c r="C69" s="100" t="s">
        <v>111</v>
      </c>
      <c r="D69" s="70" t="s">
        <v>112</v>
      </c>
      <c r="E69" s="85" t="s">
        <v>113</v>
      </c>
      <c r="F69" s="25"/>
      <c r="G69" s="61">
        <f t="shared" ref="G69:G81" si="14">IF(LEN(TRIM(F69)) = 4, 1,  IF(LEN(TRIM(F69)) &gt; 5, LEN(TRIM(F69))-LEN(SUBSTITUTE(TRIM(F69),",",""))+1, 0))</f>
        <v>0</v>
      </c>
      <c r="H69" s="61">
        <f t="shared" si="1"/>
        <v>0</v>
      </c>
      <c r="I69" s="61">
        <f t="shared" si="2"/>
        <v>0</v>
      </c>
      <c r="J69" s="59">
        <f t="shared" si="3"/>
        <v>0</v>
      </c>
      <c r="K69" s="59">
        <f t="shared" si="4"/>
        <v>0</v>
      </c>
      <c r="L69" s="59">
        <f t="shared" si="5"/>
        <v>0</v>
      </c>
      <c r="M69" s="59">
        <f t="shared" si="6"/>
        <v>0</v>
      </c>
      <c r="N69" s="62">
        <f t="shared" si="7"/>
        <v>0</v>
      </c>
      <c r="O69" s="62">
        <f t="shared" si="8"/>
        <v>0</v>
      </c>
      <c r="P69" s="62">
        <f t="shared" si="9"/>
        <v>0</v>
      </c>
      <c r="Q69" s="62">
        <f t="shared" si="10"/>
        <v>0</v>
      </c>
      <c r="R69" s="62">
        <f t="shared" si="11"/>
        <v>0</v>
      </c>
      <c r="S69" s="59">
        <f t="shared" si="12"/>
        <v>0</v>
      </c>
      <c r="T69" s="26"/>
      <c r="U69" s="26"/>
    </row>
    <row r="70" spans="1:21" ht="15.75" x14ac:dyDescent="0.25">
      <c r="A70" s="120" t="s">
        <v>280</v>
      </c>
      <c r="B70" s="89"/>
      <c r="C70" s="100"/>
      <c r="D70" s="70" t="s">
        <v>114</v>
      </c>
      <c r="E70" s="85" t="s">
        <v>113</v>
      </c>
      <c r="F70" s="25"/>
      <c r="G70" s="61">
        <f t="shared" si="14"/>
        <v>0</v>
      </c>
      <c r="H70" s="61">
        <f t="shared" ref="H70:H81" si="15">IF(ISNUMBER(SEARCH($F$2, $F70)), 1, 0) + IF(ISNUMBER(SEARCH($F$2-1, $F70)), 1, 0) + IF(ISNUMBER(SEARCH($F$2-2, $F70)), 1, 0) + IF(ISNUMBER(SEARCH($F$2-3, $F70)), 1, 0) + IF(ISNUMBER(SEARCH($F$2-4, $F70)), 1, 0)</f>
        <v>0</v>
      </c>
      <c r="I70" s="61">
        <f t="shared" ref="I70:I81" si="16">IF(ISNUMBER(SEARCH($F$2, $F70)), 1, 0) + IF(ISNUMBER(SEARCH($F$2-1, $F70)), 1, 0) + IF(ISNUMBER(SEARCH($F$2-2, $F70)), 1, 0) + IF(ISNUMBER(SEARCH($F$2-3, $F70)), 1, 0) + IF(ISNUMBER(SEARCH($F$2-4, $F70)), 1, 0) + IF(ISNUMBER(SEARCH($F$2-5, $F70)), 1, 0) + IF(ISNUMBER(SEARCH($F$2-6, $F70)), 1, 0) + IF(ISNUMBER(SEARCH($F$2-7, $F70)), 1, 0) + IF(ISNUMBER(SEARCH($F$2-8, $F70)), 1, 0) + IF(ISNUMBER(SEARCH($F$2-9, $F70)), 1, 0)</f>
        <v>0</v>
      </c>
      <c r="J70" s="59">
        <f t="shared" ref="J70:J81" si="17">IF(F70="NA", "NA", IF(G70&gt;0, 1, 0))</f>
        <v>0</v>
      </c>
      <c r="K70" s="59">
        <f t="shared" ref="K70:K81" si="18">IF(F70="NA","NA",IF(H70&gt;2,1,IF(H70&gt;1,0.5,0)))</f>
        <v>0</v>
      </c>
      <c r="L70" s="59">
        <f t="shared" ref="L70:L81" si="19">IF(F70="NA","NA",IF(I70&gt;5, 1, IF(I70&gt;2, 0.5, 0)))</f>
        <v>0</v>
      </c>
      <c r="M70" s="59">
        <f t="shared" ref="M70:M81" si="20">SUMIF(J70:L70,"&lt;&gt;#N/A")</f>
        <v>0</v>
      </c>
      <c r="N70" s="62">
        <f t="shared" ref="N70:N81" si="21">IF(F70 = "NA", "NA", 0)</f>
        <v>0</v>
      </c>
      <c r="O70" s="62">
        <f t="shared" ref="O70:O81" si="22">IF(F70 = "NA", "NA", 0)</f>
        <v>0</v>
      </c>
      <c r="P70" s="62">
        <f t="shared" ref="P70:P81" si="23">IF(F70 = "NA", "NA", 0)</f>
        <v>0</v>
      </c>
      <c r="Q70" s="62">
        <f t="shared" ref="Q70:Q81" si="24">IF(F70 = "NA", "NA", 0)</f>
        <v>0</v>
      </c>
      <c r="R70" s="62">
        <f t="shared" ref="R70:R81" si="25">IF(F70 = "NA", "NA", 0)</f>
        <v>0</v>
      </c>
      <c r="S70" s="59">
        <f t="shared" si="12"/>
        <v>0</v>
      </c>
      <c r="T70" s="26"/>
      <c r="U70" s="26"/>
    </row>
    <row r="71" spans="1:21" ht="15.75" x14ac:dyDescent="0.25">
      <c r="A71" s="120" t="s">
        <v>281</v>
      </c>
      <c r="B71" s="89"/>
      <c r="C71" s="100"/>
      <c r="D71" s="15" t="s">
        <v>115</v>
      </c>
      <c r="E71" s="16"/>
      <c r="F71" s="25"/>
      <c r="G71" s="61">
        <f t="shared" si="14"/>
        <v>0</v>
      </c>
      <c r="H71" s="61">
        <f t="shared" si="15"/>
        <v>0</v>
      </c>
      <c r="I71" s="61">
        <f t="shared" si="16"/>
        <v>0</v>
      </c>
      <c r="J71" s="59">
        <f t="shared" si="17"/>
        <v>0</v>
      </c>
      <c r="K71" s="59">
        <f t="shared" si="18"/>
        <v>0</v>
      </c>
      <c r="L71" s="59">
        <f t="shared" si="19"/>
        <v>0</v>
      </c>
      <c r="M71" s="59">
        <f t="shared" si="20"/>
        <v>0</v>
      </c>
      <c r="N71" s="62">
        <f t="shared" si="21"/>
        <v>0</v>
      </c>
      <c r="O71" s="62">
        <f t="shared" si="22"/>
        <v>0</v>
      </c>
      <c r="P71" s="62">
        <f t="shared" si="23"/>
        <v>0</v>
      </c>
      <c r="Q71" s="62">
        <f t="shared" si="24"/>
        <v>0</v>
      </c>
      <c r="R71" s="62">
        <f t="shared" si="25"/>
        <v>0</v>
      </c>
      <c r="S71" s="59">
        <f t="shared" si="12"/>
        <v>0</v>
      </c>
      <c r="T71" s="26"/>
      <c r="U71" s="26"/>
    </row>
    <row r="72" spans="1:21" ht="31.5" x14ac:dyDescent="0.25">
      <c r="A72" s="120" t="s">
        <v>282</v>
      </c>
      <c r="B72" s="89"/>
      <c r="C72" s="100" t="s">
        <v>116</v>
      </c>
      <c r="D72" s="15" t="s">
        <v>117</v>
      </c>
      <c r="E72" s="16"/>
      <c r="F72" s="25"/>
      <c r="G72" s="61">
        <f t="shared" si="14"/>
        <v>0</v>
      </c>
      <c r="H72" s="61">
        <f t="shared" si="15"/>
        <v>0</v>
      </c>
      <c r="I72" s="61">
        <f t="shared" si="16"/>
        <v>0</v>
      </c>
      <c r="J72" s="59">
        <f t="shared" si="17"/>
        <v>0</v>
      </c>
      <c r="K72" s="59">
        <f t="shared" si="18"/>
        <v>0</v>
      </c>
      <c r="L72" s="59">
        <f t="shared" si="19"/>
        <v>0</v>
      </c>
      <c r="M72" s="59">
        <f t="shared" si="20"/>
        <v>0</v>
      </c>
      <c r="N72" s="62">
        <f t="shared" si="21"/>
        <v>0</v>
      </c>
      <c r="O72" s="62">
        <f t="shared" si="22"/>
        <v>0</v>
      </c>
      <c r="P72" s="62">
        <f t="shared" si="23"/>
        <v>0</v>
      </c>
      <c r="Q72" s="62">
        <f t="shared" si="24"/>
        <v>0</v>
      </c>
      <c r="R72" s="62">
        <f t="shared" si="25"/>
        <v>0</v>
      </c>
      <c r="S72" s="59">
        <f t="shared" ref="S72:S81" si="26">SUMIF(N72:R72,"&lt;&gt;#N/A")</f>
        <v>0</v>
      </c>
      <c r="T72" s="26"/>
      <c r="U72" s="26"/>
    </row>
    <row r="73" spans="1:21" ht="15.75" x14ac:dyDescent="0.25">
      <c r="A73" s="120" t="s">
        <v>283</v>
      </c>
      <c r="B73" s="89"/>
      <c r="C73" s="100"/>
      <c r="D73" s="63" t="s">
        <v>118</v>
      </c>
      <c r="E73" s="67"/>
      <c r="F73" s="25"/>
      <c r="G73" s="61">
        <f t="shared" si="14"/>
        <v>0</v>
      </c>
      <c r="H73" s="61">
        <f t="shared" si="15"/>
        <v>0</v>
      </c>
      <c r="I73" s="61">
        <f t="shared" si="16"/>
        <v>0</v>
      </c>
      <c r="J73" s="59">
        <f t="shared" si="17"/>
        <v>0</v>
      </c>
      <c r="K73" s="59">
        <f t="shared" si="18"/>
        <v>0</v>
      </c>
      <c r="L73" s="59">
        <f t="shared" si="19"/>
        <v>0</v>
      </c>
      <c r="M73" s="59">
        <f t="shared" si="20"/>
        <v>0</v>
      </c>
      <c r="N73" s="62">
        <f t="shared" si="21"/>
        <v>0</v>
      </c>
      <c r="O73" s="62">
        <f t="shared" si="22"/>
        <v>0</v>
      </c>
      <c r="P73" s="62">
        <f t="shared" si="23"/>
        <v>0</v>
      </c>
      <c r="Q73" s="62">
        <f t="shared" si="24"/>
        <v>0</v>
      </c>
      <c r="R73" s="62">
        <f t="shared" si="25"/>
        <v>0</v>
      </c>
      <c r="S73" s="59">
        <f t="shared" si="26"/>
        <v>0</v>
      </c>
      <c r="T73" s="26"/>
      <c r="U73" s="26"/>
    </row>
    <row r="74" spans="1:21" ht="31.5" x14ac:dyDescent="0.25">
      <c r="A74" s="120" t="s">
        <v>284</v>
      </c>
      <c r="B74" s="89"/>
      <c r="C74" s="100"/>
      <c r="D74" s="15" t="s">
        <v>119</v>
      </c>
      <c r="E74" s="16"/>
      <c r="F74" s="25"/>
      <c r="G74" s="61">
        <f t="shared" si="14"/>
        <v>0</v>
      </c>
      <c r="H74" s="61">
        <f t="shared" si="15"/>
        <v>0</v>
      </c>
      <c r="I74" s="61">
        <f t="shared" si="16"/>
        <v>0</v>
      </c>
      <c r="J74" s="59">
        <f t="shared" si="17"/>
        <v>0</v>
      </c>
      <c r="K74" s="59">
        <f t="shared" si="18"/>
        <v>0</v>
      </c>
      <c r="L74" s="59">
        <f t="shared" si="19"/>
        <v>0</v>
      </c>
      <c r="M74" s="59">
        <f t="shared" si="20"/>
        <v>0</v>
      </c>
      <c r="N74" s="62">
        <f t="shared" si="21"/>
        <v>0</v>
      </c>
      <c r="O74" s="62">
        <f t="shared" si="22"/>
        <v>0</v>
      </c>
      <c r="P74" s="62">
        <f t="shared" si="23"/>
        <v>0</v>
      </c>
      <c r="Q74" s="62">
        <f t="shared" si="24"/>
        <v>0</v>
      </c>
      <c r="R74" s="62">
        <f t="shared" si="25"/>
        <v>0</v>
      </c>
      <c r="S74" s="59">
        <f t="shared" si="26"/>
        <v>0</v>
      </c>
      <c r="T74" s="26"/>
      <c r="U74" s="26"/>
    </row>
    <row r="75" spans="1:21" ht="15.75" x14ac:dyDescent="0.25">
      <c r="A75" s="120" t="s">
        <v>285</v>
      </c>
      <c r="B75" s="89"/>
      <c r="C75" s="102" t="s">
        <v>120</v>
      </c>
      <c r="D75" s="11" t="s">
        <v>121</v>
      </c>
      <c r="E75" s="14"/>
      <c r="F75" s="25"/>
      <c r="G75" s="61">
        <f t="shared" si="14"/>
        <v>0</v>
      </c>
      <c r="H75" s="61">
        <f t="shared" si="15"/>
        <v>0</v>
      </c>
      <c r="I75" s="61">
        <f t="shared" si="16"/>
        <v>0</v>
      </c>
      <c r="J75" s="59">
        <f t="shared" si="17"/>
        <v>0</v>
      </c>
      <c r="K75" s="59">
        <f t="shared" si="18"/>
        <v>0</v>
      </c>
      <c r="L75" s="59">
        <f t="shared" si="19"/>
        <v>0</v>
      </c>
      <c r="M75" s="59">
        <f t="shared" si="20"/>
        <v>0</v>
      </c>
      <c r="N75" s="62">
        <f t="shared" si="21"/>
        <v>0</v>
      </c>
      <c r="O75" s="62">
        <f t="shared" si="22"/>
        <v>0</v>
      </c>
      <c r="P75" s="62">
        <f t="shared" si="23"/>
        <v>0</v>
      </c>
      <c r="Q75" s="62">
        <f t="shared" si="24"/>
        <v>0</v>
      </c>
      <c r="R75" s="62">
        <f t="shared" si="25"/>
        <v>0</v>
      </c>
      <c r="S75" s="59">
        <f t="shared" si="26"/>
        <v>0</v>
      </c>
      <c r="T75" s="26"/>
      <c r="U75" s="26"/>
    </row>
    <row r="76" spans="1:21" ht="15.75" x14ac:dyDescent="0.25">
      <c r="A76" s="120" t="s">
        <v>286</v>
      </c>
      <c r="B76" s="89"/>
      <c r="C76" s="102"/>
      <c r="D76" s="11" t="s">
        <v>122</v>
      </c>
      <c r="E76" s="14"/>
      <c r="F76" s="25"/>
      <c r="G76" s="61">
        <f t="shared" si="14"/>
        <v>0</v>
      </c>
      <c r="H76" s="61">
        <f t="shared" si="15"/>
        <v>0</v>
      </c>
      <c r="I76" s="61">
        <f t="shared" si="16"/>
        <v>0</v>
      </c>
      <c r="J76" s="59">
        <f t="shared" si="17"/>
        <v>0</v>
      </c>
      <c r="K76" s="59">
        <f t="shared" si="18"/>
        <v>0</v>
      </c>
      <c r="L76" s="59">
        <f t="shared" si="19"/>
        <v>0</v>
      </c>
      <c r="M76" s="59">
        <f t="shared" si="20"/>
        <v>0</v>
      </c>
      <c r="N76" s="62">
        <f t="shared" si="21"/>
        <v>0</v>
      </c>
      <c r="O76" s="62">
        <f t="shared" si="22"/>
        <v>0</v>
      </c>
      <c r="P76" s="62">
        <f t="shared" si="23"/>
        <v>0</v>
      </c>
      <c r="Q76" s="62">
        <f t="shared" si="24"/>
        <v>0</v>
      </c>
      <c r="R76" s="62">
        <f t="shared" si="25"/>
        <v>0</v>
      </c>
      <c r="S76" s="59">
        <f t="shared" si="26"/>
        <v>0</v>
      </c>
      <c r="T76" s="26"/>
      <c r="U76" s="26"/>
    </row>
    <row r="77" spans="1:21" ht="31.5" x14ac:dyDescent="0.25">
      <c r="A77" s="120" t="s">
        <v>287</v>
      </c>
      <c r="B77" s="89"/>
      <c r="C77" s="102"/>
      <c r="D77" s="11" t="s">
        <v>123</v>
      </c>
      <c r="E77" s="14"/>
      <c r="F77" s="25"/>
      <c r="G77" s="61">
        <f t="shared" si="14"/>
        <v>0</v>
      </c>
      <c r="H77" s="61">
        <f t="shared" si="15"/>
        <v>0</v>
      </c>
      <c r="I77" s="61">
        <f t="shared" si="16"/>
        <v>0</v>
      </c>
      <c r="J77" s="59">
        <f t="shared" si="17"/>
        <v>0</v>
      </c>
      <c r="K77" s="59">
        <f t="shared" si="18"/>
        <v>0</v>
      </c>
      <c r="L77" s="59">
        <f t="shared" si="19"/>
        <v>0</v>
      </c>
      <c r="M77" s="59">
        <f t="shared" si="20"/>
        <v>0</v>
      </c>
      <c r="N77" s="62">
        <f t="shared" si="21"/>
        <v>0</v>
      </c>
      <c r="O77" s="62">
        <f t="shared" si="22"/>
        <v>0</v>
      </c>
      <c r="P77" s="62">
        <f t="shared" si="23"/>
        <v>0</v>
      </c>
      <c r="Q77" s="62">
        <f t="shared" si="24"/>
        <v>0</v>
      </c>
      <c r="R77" s="62">
        <f t="shared" si="25"/>
        <v>0</v>
      </c>
      <c r="S77" s="59">
        <f t="shared" si="26"/>
        <v>0</v>
      </c>
      <c r="T77" s="26"/>
      <c r="U77" s="26"/>
    </row>
    <row r="78" spans="1:21" ht="31.5" x14ac:dyDescent="0.25">
      <c r="A78" s="120" t="s">
        <v>288</v>
      </c>
      <c r="B78" s="89"/>
      <c r="C78" s="64" t="s">
        <v>124</v>
      </c>
      <c r="D78" s="65" t="s">
        <v>125</v>
      </c>
      <c r="E78" s="66"/>
      <c r="F78" s="25"/>
      <c r="G78" s="61">
        <f t="shared" si="14"/>
        <v>0</v>
      </c>
      <c r="H78" s="61">
        <f t="shared" si="15"/>
        <v>0</v>
      </c>
      <c r="I78" s="61">
        <f t="shared" si="16"/>
        <v>0</v>
      </c>
      <c r="J78" s="59">
        <f t="shared" si="17"/>
        <v>0</v>
      </c>
      <c r="K78" s="59">
        <f t="shared" si="18"/>
        <v>0</v>
      </c>
      <c r="L78" s="59">
        <f t="shared" si="19"/>
        <v>0</v>
      </c>
      <c r="M78" s="59">
        <f t="shared" si="20"/>
        <v>0</v>
      </c>
      <c r="N78" s="62">
        <f t="shared" si="21"/>
        <v>0</v>
      </c>
      <c r="O78" s="62">
        <f t="shared" si="22"/>
        <v>0</v>
      </c>
      <c r="P78" s="62">
        <f t="shared" si="23"/>
        <v>0</v>
      </c>
      <c r="Q78" s="62">
        <f t="shared" si="24"/>
        <v>0</v>
      </c>
      <c r="R78" s="62">
        <f t="shared" si="25"/>
        <v>0</v>
      </c>
      <c r="S78" s="59">
        <f t="shared" si="26"/>
        <v>0</v>
      </c>
      <c r="T78" s="26"/>
      <c r="U78" s="26"/>
    </row>
    <row r="79" spans="1:21" ht="31.5" x14ac:dyDescent="0.25">
      <c r="A79" s="120" t="s">
        <v>289</v>
      </c>
      <c r="B79" s="89"/>
      <c r="C79" s="13" t="s">
        <v>126</v>
      </c>
      <c r="D79" s="11" t="s">
        <v>127</v>
      </c>
      <c r="E79" s="14"/>
      <c r="F79" s="25"/>
      <c r="G79" s="61">
        <f t="shared" si="14"/>
        <v>0</v>
      </c>
      <c r="H79" s="61">
        <f t="shared" si="15"/>
        <v>0</v>
      </c>
      <c r="I79" s="61">
        <f t="shared" si="16"/>
        <v>0</v>
      </c>
      <c r="J79" s="59">
        <f t="shared" si="17"/>
        <v>0</v>
      </c>
      <c r="K79" s="59">
        <f t="shared" si="18"/>
        <v>0</v>
      </c>
      <c r="L79" s="59">
        <f t="shared" si="19"/>
        <v>0</v>
      </c>
      <c r="M79" s="59">
        <f t="shared" si="20"/>
        <v>0</v>
      </c>
      <c r="N79" s="62">
        <f t="shared" si="21"/>
        <v>0</v>
      </c>
      <c r="O79" s="62">
        <f t="shared" si="22"/>
        <v>0</v>
      </c>
      <c r="P79" s="62">
        <f t="shared" si="23"/>
        <v>0</v>
      </c>
      <c r="Q79" s="62">
        <f t="shared" si="24"/>
        <v>0</v>
      </c>
      <c r="R79" s="62">
        <f t="shared" si="25"/>
        <v>0</v>
      </c>
      <c r="S79" s="59">
        <f t="shared" si="26"/>
        <v>0</v>
      </c>
      <c r="T79" s="26"/>
      <c r="U79" s="26"/>
    </row>
    <row r="80" spans="1:21" ht="15.75" x14ac:dyDescent="0.25">
      <c r="A80" s="120" t="s">
        <v>290</v>
      </c>
      <c r="B80" s="89"/>
      <c r="C80" s="86" t="s">
        <v>128</v>
      </c>
      <c r="D80" s="11" t="s">
        <v>129</v>
      </c>
      <c r="E80" s="14"/>
      <c r="F80" s="25"/>
      <c r="G80" s="61">
        <f t="shared" si="14"/>
        <v>0</v>
      </c>
      <c r="H80" s="61">
        <f t="shared" si="15"/>
        <v>0</v>
      </c>
      <c r="I80" s="61">
        <f t="shared" si="16"/>
        <v>0</v>
      </c>
      <c r="J80" s="59">
        <f t="shared" si="17"/>
        <v>0</v>
      </c>
      <c r="K80" s="59">
        <f t="shared" si="18"/>
        <v>0</v>
      </c>
      <c r="L80" s="59">
        <f t="shared" si="19"/>
        <v>0</v>
      </c>
      <c r="M80" s="59">
        <f t="shared" si="20"/>
        <v>0</v>
      </c>
      <c r="N80" s="62">
        <f t="shared" si="21"/>
        <v>0</v>
      </c>
      <c r="O80" s="62">
        <f t="shared" si="22"/>
        <v>0</v>
      </c>
      <c r="P80" s="62">
        <f t="shared" si="23"/>
        <v>0</v>
      </c>
      <c r="Q80" s="62">
        <f t="shared" si="24"/>
        <v>0</v>
      </c>
      <c r="R80" s="62">
        <f t="shared" si="25"/>
        <v>0</v>
      </c>
      <c r="S80" s="59">
        <f t="shared" si="26"/>
        <v>0</v>
      </c>
      <c r="T80" s="26"/>
      <c r="U80" s="26"/>
    </row>
    <row r="81" spans="1:21" ht="15.75" x14ac:dyDescent="0.25">
      <c r="A81" s="120" t="s">
        <v>291</v>
      </c>
      <c r="B81" s="90"/>
      <c r="C81" s="87"/>
      <c r="D81" s="11" t="s">
        <v>130</v>
      </c>
      <c r="E81" s="14"/>
      <c r="F81" s="25"/>
      <c r="G81" s="61">
        <f t="shared" si="14"/>
        <v>0</v>
      </c>
      <c r="H81" s="61">
        <f t="shared" si="15"/>
        <v>0</v>
      </c>
      <c r="I81" s="61">
        <f t="shared" si="16"/>
        <v>0</v>
      </c>
      <c r="J81" s="59">
        <f t="shared" si="17"/>
        <v>0</v>
      </c>
      <c r="K81" s="59">
        <f t="shared" si="18"/>
        <v>0</v>
      </c>
      <c r="L81" s="59">
        <f t="shared" si="19"/>
        <v>0</v>
      </c>
      <c r="M81" s="59">
        <f t="shared" si="20"/>
        <v>0</v>
      </c>
      <c r="N81" s="62">
        <f t="shared" si="21"/>
        <v>0</v>
      </c>
      <c r="O81" s="62">
        <f t="shared" si="22"/>
        <v>0</v>
      </c>
      <c r="P81" s="62">
        <f t="shared" si="23"/>
        <v>0</v>
      </c>
      <c r="Q81" s="62">
        <f t="shared" si="24"/>
        <v>0</v>
      </c>
      <c r="R81" s="62">
        <f t="shared" si="25"/>
        <v>0</v>
      </c>
      <c r="S81" s="59">
        <f t="shared" si="26"/>
        <v>0</v>
      </c>
      <c r="T81" s="26"/>
      <c r="U81" s="26"/>
    </row>
    <row r="82" spans="1:21" s="18" customFormat="1" ht="26.65" customHeight="1" x14ac:dyDescent="0.25">
      <c r="B82" s="91" t="s">
        <v>131</v>
      </c>
      <c r="C82" s="91"/>
      <c r="D82" s="91"/>
      <c r="E82" s="91"/>
      <c r="F82" s="91"/>
      <c r="G82" s="91"/>
      <c r="H82" s="91"/>
      <c r="I82" s="91"/>
      <c r="J82" s="69">
        <f>SUM(J5:J81)</f>
        <v>0</v>
      </c>
      <c r="K82" s="69">
        <f>SUM(K5:K81)</f>
        <v>0</v>
      </c>
      <c r="L82" s="69">
        <f>SUM(L5:L81)</f>
        <v>0</v>
      </c>
      <c r="M82" s="69">
        <f>SUM(M5:M81)</f>
        <v>0</v>
      </c>
      <c r="N82" s="76">
        <f t="shared" ref="N82:S82" si="27">SUMIF(N5:N81,"&lt;&gt;#N/A")</f>
        <v>0</v>
      </c>
      <c r="O82" s="76">
        <f t="shared" si="27"/>
        <v>0</v>
      </c>
      <c r="P82" s="76">
        <f t="shared" si="27"/>
        <v>0</v>
      </c>
      <c r="Q82" s="76">
        <f t="shared" si="27"/>
        <v>0</v>
      </c>
      <c r="R82" s="76">
        <f t="shared" si="27"/>
        <v>0</v>
      </c>
      <c r="S82" s="76">
        <f t="shared" si="27"/>
        <v>0</v>
      </c>
      <c r="T82" s="69"/>
      <c r="U82" s="69"/>
    </row>
    <row r="83" spans="1:21" s="18" customFormat="1" ht="26.65" customHeight="1" x14ac:dyDescent="0.25">
      <c r="B83" s="92"/>
      <c r="C83" s="92"/>
      <c r="D83" s="92"/>
      <c r="E83" s="92"/>
      <c r="F83" s="92"/>
      <c r="G83" s="92"/>
      <c r="H83" s="92"/>
      <c r="I83" s="92"/>
      <c r="S83" s="68"/>
    </row>
    <row r="85" spans="1:21" ht="15.75" x14ac:dyDescent="0.25">
      <c r="B85" s="4" t="s">
        <v>132</v>
      </c>
      <c r="C85" s="4"/>
      <c r="D85" s="4"/>
    </row>
    <row r="86" spans="1:21" ht="15.75" x14ac:dyDescent="0.25">
      <c r="B86" s="4" t="s">
        <v>133</v>
      </c>
      <c r="C86" s="4"/>
      <c r="D86" s="4"/>
    </row>
    <row r="87" spans="1:21" ht="15.75" x14ac:dyDescent="0.25">
      <c r="B87" s="4" t="s">
        <v>134</v>
      </c>
      <c r="C87" s="4"/>
      <c r="D87" s="4"/>
      <c r="M87" s="19"/>
    </row>
    <row r="88" spans="1:21" ht="15.75" x14ac:dyDescent="0.25">
      <c r="B88" s="4" t="s">
        <v>135</v>
      </c>
      <c r="C88" s="4"/>
      <c r="D88" s="4"/>
    </row>
    <row r="89" spans="1:21" ht="15.75" x14ac:dyDescent="0.25">
      <c r="B89" s="4"/>
      <c r="C89" s="4"/>
      <c r="D89" s="4"/>
    </row>
    <row r="90" spans="1:21" ht="15.75" x14ac:dyDescent="0.25">
      <c r="B90" s="4"/>
      <c r="C90" s="4"/>
      <c r="D90" s="4"/>
    </row>
    <row r="91" spans="1:21" ht="15.75" x14ac:dyDescent="0.25">
      <c r="B91" s="4"/>
      <c r="C91" s="4"/>
      <c r="D91" s="4"/>
    </row>
    <row r="92" spans="1:21" ht="15.75" x14ac:dyDescent="0.25">
      <c r="B92" s="103" t="s">
        <v>3</v>
      </c>
      <c r="C92" s="104"/>
      <c r="D92" s="75" t="s">
        <v>136</v>
      </c>
    </row>
    <row r="93" spans="1:21" ht="15.75" x14ac:dyDescent="0.25">
      <c r="B93" s="105" t="s">
        <v>137</v>
      </c>
      <c r="C93" s="106"/>
      <c r="D93" s="73">
        <f>COUNTIF(F5:F36, "NA")</f>
        <v>0</v>
      </c>
    </row>
    <row r="94" spans="1:21" ht="15.75" x14ac:dyDescent="0.25">
      <c r="B94" s="105" t="s">
        <v>138</v>
      </c>
      <c r="C94" s="106"/>
      <c r="D94" s="73">
        <f>COUNTIF(F37:F50, "NA")</f>
        <v>0</v>
      </c>
    </row>
    <row r="95" spans="1:21" ht="15.75" x14ac:dyDescent="0.25">
      <c r="B95" s="105" t="s">
        <v>139</v>
      </c>
      <c r="C95" s="106"/>
      <c r="D95" s="73">
        <f>COUNTIF(F51:F65, "NA")</f>
        <v>4</v>
      </c>
    </row>
    <row r="96" spans="1:21" ht="15.75" x14ac:dyDescent="0.25">
      <c r="B96" s="107" t="s">
        <v>140</v>
      </c>
      <c r="C96" s="108"/>
      <c r="D96" s="74">
        <f>COUNTIF(F66:F81,"NA")</f>
        <v>1</v>
      </c>
    </row>
    <row r="97" spans="2:4" ht="15.75" x14ac:dyDescent="0.25">
      <c r="B97" s="4"/>
      <c r="C97" s="4"/>
      <c r="D97" s="4"/>
    </row>
    <row r="98" spans="2:4" ht="15.75" x14ac:dyDescent="0.25">
      <c r="B98" s="4"/>
      <c r="C98" s="4"/>
      <c r="D98" s="4"/>
    </row>
    <row r="99" spans="2:4" ht="15.75" x14ac:dyDescent="0.25">
      <c r="B99" s="4"/>
      <c r="C99" s="4"/>
      <c r="D99" s="4"/>
    </row>
  </sheetData>
  <mergeCells count="60">
    <mergeCell ref="A3:A4"/>
    <mergeCell ref="B92:C92"/>
    <mergeCell ref="B93:C93"/>
    <mergeCell ref="B94:C94"/>
    <mergeCell ref="B95:C95"/>
    <mergeCell ref="B96:C96"/>
    <mergeCell ref="C75:C77"/>
    <mergeCell ref="C66:C68"/>
    <mergeCell ref="B37:B50"/>
    <mergeCell ref="B5:B36"/>
    <mergeCell ref="C35:C36"/>
    <mergeCell ref="C20:C23"/>
    <mergeCell ref="C37:C41"/>
    <mergeCell ref="C45:C48"/>
    <mergeCell ref="B2:D2"/>
    <mergeCell ref="U3:U4"/>
    <mergeCell ref="C72:C74"/>
    <mergeCell ref="C56:C61"/>
    <mergeCell ref="C51:C55"/>
    <mergeCell ref="B51:B65"/>
    <mergeCell ref="C62:C65"/>
    <mergeCell ref="C69:C71"/>
    <mergeCell ref="D66:D68"/>
    <mergeCell ref="C5:C8"/>
    <mergeCell ref="C9:C14"/>
    <mergeCell ref="C15:C19"/>
    <mergeCell ref="C49:C50"/>
    <mergeCell ref="C42:C44"/>
    <mergeCell ref="C29:C34"/>
    <mergeCell ref="C24:C28"/>
    <mergeCell ref="D35:D36"/>
    <mergeCell ref="D56:D61"/>
    <mergeCell ref="D37:D38"/>
    <mergeCell ref="D42:D44"/>
    <mergeCell ref="D45:D46"/>
    <mergeCell ref="D49:D50"/>
    <mergeCell ref="D51:D55"/>
    <mergeCell ref="T3:T4"/>
    <mergeCell ref="F3:F4"/>
    <mergeCell ref="J3:M3"/>
    <mergeCell ref="E3:E4"/>
    <mergeCell ref="G3:G4"/>
    <mergeCell ref="H3:H4"/>
    <mergeCell ref="I3:I4"/>
    <mergeCell ref="C80:C81"/>
    <mergeCell ref="B66:B81"/>
    <mergeCell ref="B82:I82"/>
    <mergeCell ref="B83:I83"/>
    <mergeCell ref="N3:S3"/>
    <mergeCell ref="D3:D4"/>
    <mergeCell ref="C3:C4"/>
    <mergeCell ref="B3:B4"/>
    <mergeCell ref="D21:D23"/>
    <mergeCell ref="D24:D26"/>
    <mergeCell ref="D5:D6"/>
    <mergeCell ref="D9:D12"/>
    <mergeCell ref="D62:D65"/>
    <mergeCell ref="D27:D28"/>
    <mergeCell ref="D29:D31"/>
    <mergeCell ref="D32:D34"/>
  </mergeCells>
  <phoneticPr fontId="22" type="noConversion"/>
  <hyperlinks>
    <hyperlink ref="J4" location="'Scoring Guideline'!B4" display="At least one year [C1]" xr:uid="{00000000-0004-0000-0000-000000000000}"/>
    <hyperlink ref="K4" location="'Scoring Guideline'!B10" display="AT least 3 of the last 5 years [C2]" xr:uid="{00000000-0004-0000-0000-000001000000}"/>
    <hyperlink ref="L4" location="'Scoring Guideline'!B16" display="At least 6 of the last 10 years [C3]" xr:uid="{00000000-0004-0000-0000-000002000000}"/>
    <hyperlink ref="J3:M3" location="'Scoring Guideline'!B2" display="Coverage: Data availability/published for public [C]" xr:uid="{00000000-0004-0000-0000-000003000000}"/>
    <hyperlink ref="N4" location="'Scoring Guideline'!B27" display="'Scoring Guideline'!B27" xr:uid="{00000000-0004-0000-0000-000004000000}"/>
    <hyperlink ref="O4" location="'Scoring Guideline'!B31" display="'Scoring Guideline'!B31" xr:uid="{00000000-0004-0000-0000-000005000000}"/>
    <hyperlink ref="P4" location="'Scoring Guideline'!B36" display="'Scoring Guideline'!B36" xr:uid="{00000000-0004-0000-0000-000006000000}"/>
    <hyperlink ref="Q4" location="'Scoring Guideline'!B42" display="'Scoring Guideline'!B42" xr:uid="{00000000-0004-0000-0000-000007000000}"/>
    <hyperlink ref="R4" location="'Scoring Guideline'!B48" display="'Scoring Guideline'!B48" xr:uid="{00000000-0004-0000-0000-000008000000}"/>
    <hyperlink ref="N3:S3" location="'Scoring Guideline'!B24" display="Openenness [O]" xr:uid="{00000000-0004-0000-0000-000009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errorTitle="Input Validation" error="Please see scoring guideline work sheet" xr:uid="{00000000-0002-0000-0000-000000000000}">
          <x14:formula1>
            <xm:f>'Scoring Guideline'!$B$47:$B$49</xm:f>
          </x14:formula1>
          <xm:sqref>Q5:Q81</xm:sqref>
        </x14:dataValidation>
        <x14:dataValidation type="list" allowBlank="1" showInputMessage="1" showErrorMessage="1" errorTitle="Data Validation" error="Please see scoring guideline work sheet" xr:uid="{00000000-0002-0000-0000-000001000000}">
          <x14:formula1>
            <xm:f>'Scoring Guideline'!$B$54:$B$56</xm:f>
          </x14:formula1>
          <xm:sqref>R5:R81</xm:sqref>
        </x14:dataValidation>
        <x14:dataValidation type="list" allowBlank="1" showInputMessage="1" showErrorMessage="1" errorTitle="Input Validation" error="Please see scoring guideline timesheet" xr:uid="{00000000-0002-0000-0000-000002000000}">
          <x14:formula1>
            <xm:f>'Scoring Guideline'!$B$34:$B$35</xm:f>
          </x14:formula1>
          <xm:sqref>O5:O81</xm:sqref>
        </x14:dataValidation>
        <x14:dataValidation type="list" allowBlank="1" showInputMessage="1" showErrorMessage="1" errorTitle="Validation Error" error="Please see scoring guideline worksheet" xr:uid="{00000000-0002-0000-0000-000003000000}">
          <x14:formula1>
            <xm:f>'Scoring Guideline'!$B$40:$B$42</xm:f>
          </x14:formula1>
          <xm:sqref>P5:P81</xm:sqref>
        </x14:dataValidation>
        <x14:dataValidation type="list" allowBlank="1" showInputMessage="1" showErrorMessage="1" xr:uid="{00000000-0002-0000-0000-000004000000}">
          <x14:formula1>
            <xm:f>'Scoring Guideline'!$B$28:$B$29</xm:f>
          </x14:formula1>
          <xm:sqref>N5:N81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1:I19"/>
  <sheetViews>
    <sheetView showGridLines="0" zoomScale="70" zoomScaleNormal="70" workbookViewId="0">
      <selection activeCell="F9" sqref="F9"/>
    </sheetView>
  </sheetViews>
  <sheetFormatPr defaultRowHeight="15" x14ac:dyDescent="0.25"/>
  <cols>
    <col min="1" max="1" width="3.28515625" customWidth="1"/>
    <col min="2" max="2" width="60.7109375" customWidth="1"/>
    <col min="3" max="3" width="15.7109375" customWidth="1"/>
    <col min="4" max="4" width="16.7109375" bestFit="1" customWidth="1"/>
    <col min="5" max="5" width="17.28515625" customWidth="1"/>
    <col min="6" max="6" width="15.7109375" customWidth="1"/>
    <col min="7" max="7" width="16.7109375" bestFit="1" customWidth="1"/>
    <col min="8" max="8" width="17.28515625" customWidth="1"/>
    <col min="9" max="9" width="13.42578125" customWidth="1"/>
  </cols>
  <sheetData>
    <row r="1" spans="2:9" ht="36" x14ac:dyDescent="0.55000000000000004">
      <c r="B1" s="111" t="s">
        <v>141</v>
      </c>
      <c r="C1" s="111"/>
      <c r="D1" s="111"/>
      <c r="E1" s="111"/>
      <c r="F1" s="111"/>
      <c r="G1" s="111"/>
      <c r="H1" s="111"/>
      <c r="I1" s="111"/>
    </row>
    <row r="3" spans="2:9" ht="21" hidden="1" x14ac:dyDescent="0.35">
      <c r="B3" s="10" t="s">
        <v>142</v>
      </c>
    </row>
    <row r="4" spans="2:9" ht="37.9" customHeight="1" x14ac:dyDescent="0.25">
      <c r="B4" s="112" t="s">
        <v>143</v>
      </c>
      <c r="C4" s="112" t="s">
        <v>144</v>
      </c>
      <c r="D4" s="112"/>
      <c r="E4" s="112"/>
      <c r="F4" s="112" t="s">
        <v>145</v>
      </c>
      <c r="G4" s="112"/>
      <c r="H4" s="112"/>
      <c r="I4" s="113" t="s">
        <v>146</v>
      </c>
    </row>
    <row r="5" spans="2:9" ht="34.9" customHeight="1" x14ac:dyDescent="0.25">
      <c r="B5" s="112"/>
      <c r="C5" s="7" t="s">
        <v>147</v>
      </c>
      <c r="D5" s="7" t="s">
        <v>148</v>
      </c>
      <c r="E5" s="9" t="s">
        <v>149</v>
      </c>
      <c r="F5" s="7" t="s">
        <v>147</v>
      </c>
      <c r="G5" s="7" t="s">
        <v>148</v>
      </c>
      <c r="H5" s="9" t="s">
        <v>149</v>
      </c>
      <c r="I5" s="113"/>
    </row>
    <row r="6" spans="2:9" ht="34.9" customHeight="1" x14ac:dyDescent="0.25">
      <c r="B6" s="8" t="s">
        <v>150</v>
      </c>
      <c r="C6" s="29">
        <f>(32-Input!D93)*3</f>
        <v>96</v>
      </c>
      <c r="D6" s="29">
        <f>SUM(Input!M$5:M$36)</f>
        <v>0</v>
      </c>
      <c r="E6" s="30">
        <f>(D6/C6)*100%</f>
        <v>0</v>
      </c>
      <c r="F6" s="29">
        <f>(32-Input!D93)*5</f>
        <v>160</v>
      </c>
      <c r="G6" s="29">
        <f>SUM(Input!S$5:S$36)</f>
        <v>0</v>
      </c>
      <c r="H6" s="30">
        <f>(G6/F6)*100%</f>
        <v>0</v>
      </c>
      <c r="I6" s="30">
        <f>(D6/C6)*50%+(G6/F6)*50%</f>
        <v>0</v>
      </c>
    </row>
    <row r="7" spans="2:9" ht="34.9" customHeight="1" x14ac:dyDescent="0.25">
      <c r="B7" s="8" t="s">
        <v>151</v>
      </c>
      <c r="C7" s="29">
        <f>(14-Input!D94)*3</f>
        <v>42</v>
      </c>
      <c r="D7" s="29">
        <f>SUM(Input!M$37:M$50)</f>
        <v>0</v>
      </c>
      <c r="E7" s="30">
        <f t="shared" ref="E7:E9" si="0">(D7/C7)*100%</f>
        <v>0</v>
      </c>
      <c r="F7" s="29">
        <f>(14-Input!D94)*5</f>
        <v>70</v>
      </c>
      <c r="G7" s="29">
        <f>SUM(Input!S$37:S$50)</f>
        <v>0</v>
      </c>
      <c r="H7" s="30">
        <f t="shared" ref="H7:H9" si="1">(G7/F7)*100%</f>
        <v>0</v>
      </c>
      <c r="I7" s="30">
        <f t="shared" ref="I7:I9" si="2">(D7/C7)*50%+(G7/F7)*50%</f>
        <v>0</v>
      </c>
    </row>
    <row r="8" spans="2:9" ht="34.9" customHeight="1" x14ac:dyDescent="0.25">
      <c r="B8" s="8" t="s">
        <v>152</v>
      </c>
      <c r="C8" s="29">
        <f>(15-Input!D95)*3</f>
        <v>33</v>
      </c>
      <c r="D8" s="29">
        <f>SUM(Input!M$51:M$65)-Input!M55-Input!M61-Input!M65</f>
        <v>0</v>
      </c>
      <c r="E8" s="30">
        <f t="shared" si="0"/>
        <v>0</v>
      </c>
      <c r="F8" s="29">
        <f>(15-Input!D95)*5</f>
        <v>55</v>
      </c>
      <c r="G8" s="29">
        <f>SUM(Input!S$51:S$65)-Input!S55-Input!S61-Input!S65</f>
        <v>0</v>
      </c>
      <c r="H8" s="30">
        <f t="shared" si="1"/>
        <v>0</v>
      </c>
      <c r="I8" s="30">
        <f t="shared" si="2"/>
        <v>0</v>
      </c>
    </row>
    <row r="9" spans="2:9" ht="34.9" customHeight="1" x14ac:dyDescent="0.25">
      <c r="B9" s="8" t="s">
        <v>153</v>
      </c>
      <c r="C9" s="29">
        <f>(16-Input!D96)*3</f>
        <v>45</v>
      </c>
      <c r="D9" s="29">
        <f>SUM(Input!M$66:M$81)-Input!M68</f>
        <v>0</v>
      </c>
      <c r="E9" s="30">
        <f t="shared" si="0"/>
        <v>0</v>
      </c>
      <c r="F9" s="29">
        <f>(16-Input!D96)*5</f>
        <v>75</v>
      </c>
      <c r="G9" s="29">
        <f>SUM(Input!S$66:S$81)-Input!S68</f>
        <v>0</v>
      </c>
      <c r="H9" s="30">
        <f t="shared" si="1"/>
        <v>0</v>
      </c>
      <c r="I9" s="30">
        <f t="shared" si="2"/>
        <v>0</v>
      </c>
    </row>
    <row r="10" spans="2:9" ht="34.9" customHeight="1" x14ac:dyDescent="0.25">
      <c r="B10" s="22" t="s">
        <v>154</v>
      </c>
      <c r="C10" s="109" t="s">
        <v>155</v>
      </c>
      <c r="D10" s="110"/>
      <c r="E10" s="20">
        <f>(D6/C6)*25%+(D7/C7)*25%+ (D8/C8)*25% + (D9/C9)*25%</f>
        <v>0</v>
      </c>
      <c r="F10" s="109" t="s">
        <v>156</v>
      </c>
      <c r="G10" s="110"/>
      <c r="H10" s="20">
        <f>(G6/F6)*25%+(G7/F7)*25%+ (G8/F8)*25% + (G9/F9)*25%</f>
        <v>0</v>
      </c>
      <c r="I10" s="28">
        <f>(E10*50%)+(H10*50%)</f>
        <v>0</v>
      </c>
    </row>
    <row r="13" spans="2:9" ht="34.9" customHeight="1" x14ac:dyDescent="0.25">
      <c r="B13" t="s">
        <v>157</v>
      </c>
    </row>
    <row r="14" spans="2:9" ht="34.9" customHeight="1" x14ac:dyDescent="0.25">
      <c r="B14" t="s">
        <v>158</v>
      </c>
    </row>
    <row r="15" spans="2:9" ht="34.9" customHeight="1" x14ac:dyDescent="0.25"/>
    <row r="16" spans="2:9" ht="34.9" customHeight="1" x14ac:dyDescent="0.25"/>
    <row r="17" ht="34.9" customHeight="1" x14ac:dyDescent="0.25"/>
    <row r="18" ht="34.9" customHeight="1" x14ac:dyDescent="0.25"/>
    <row r="19" ht="34.9" customHeight="1" x14ac:dyDescent="0.25"/>
  </sheetData>
  <mergeCells count="7">
    <mergeCell ref="F10:G10"/>
    <mergeCell ref="C10:D10"/>
    <mergeCell ref="B1:I1"/>
    <mergeCell ref="C4:E4"/>
    <mergeCell ref="F4:H4"/>
    <mergeCell ref="I4:I5"/>
    <mergeCell ref="B4:B5"/>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pageSetUpPr fitToPage="1"/>
  </sheetPr>
  <dimension ref="B2:E57"/>
  <sheetViews>
    <sheetView showGridLines="0" zoomScale="85" zoomScaleNormal="85" workbookViewId="0">
      <selection activeCell="D47" sqref="D47"/>
    </sheetView>
  </sheetViews>
  <sheetFormatPr defaultColWidth="8.85546875" defaultRowHeight="15.75" x14ac:dyDescent="0.25"/>
  <cols>
    <col min="1" max="1" width="5" style="4" customWidth="1"/>
    <col min="2" max="2" width="5.28515625" style="41" customWidth="1"/>
    <col min="3" max="3" width="7.7109375" style="4" customWidth="1"/>
    <col min="4" max="4" width="79.5703125" style="55" customWidth="1"/>
    <col min="5" max="5" width="114.7109375" style="55" customWidth="1"/>
    <col min="6" max="16384" width="8.85546875" style="4"/>
  </cols>
  <sheetData>
    <row r="2" spans="2:5" ht="33.75" x14ac:dyDescent="0.25">
      <c r="B2" s="117" t="s">
        <v>159</v>
      </c>
      <c r="C2" s="117"/>
      <c r="D2" s="117"/>
      <c r="E2" s="117"/>
    </row>
    <row r="3" spans="2:5" ht="23.25" x14ac:dyDescent="0.25">
      <c r="B3" s="38"/>
      <c r="C3" s="5"/>
      <c r="D3" s="52"/>
      <c r="E3" s="53"/>
    </row>
    <row r="4" spans="2:5" ht="21" x14ac:dyDescent="0.25">
      <c r="B4" s="118" t="s">
        <v>160</v>
      </c>
      <c r="C4" s="118"/>
      <c r="D4" s="118"/>
      <c r="E4" s="118"/>
    </row>
    <row r="5" spans="2:5" s="36" customFormat="1" ht="27" customHeight="1" x14ac:dyDescent="0.25">
      <c r="B5" s="114" t="s">
        <v>161</v>
      </c>
      <c r="C5" s="115"/>
      <c r="D5" s="50" t="s">
        <v>162</v>
      </c>
      <c r="E5" s="51" t="s">
        <v>163</v>
      </c>
    </row>
    <row r="6" spans="2:5" ht="139.9" customHeight="1" x14ac:dyDescent="0.25">
      <c r="B6" s="39">
        <v>1</v>
      </c>
      <c r="C6" s="31" t="s">
        <v>161</v>
      </c>
      <c r="D6" s="44" t="s">
        <v>164</v>
      </c>
      <c r="E6" s="32" t="s">
        <v>165</v>
      </c>
    </row>
    <row r="7" spans="2:5" ht="31.5" x14ac:dyDescent="0.25">
      <c r="B7" s="40">
        <v>0</v>
      </c>
      <c r="C7" s="35" t="s">
        <v>161</v>
      </c>
      <c r="D7" s="45" t="s">
        <v>166</v>
      </c>
      <c r="E7" s="54"/>
    </row>
    <row r="8" spans="2:5" x14ac:dyDescent="0.25">
      <c r="B8" s="58" t="s">
        <v>167</v>
      </c>
      <c r="C8" s="23"/>
      <c r="D8" s="46"/>
    </row>
    <row r="10" spans="2:5" ht="21" x14ac:dyDescent="0.25">
      <c r="B10" s="116" t="s">
        <v>168</v>
      </c>
      <c r="C10" s="116"/>
      <c r="D10" s="116"/>
      <c r="E10" s="116"/>
    </row>
    <row r="11" spans="2:5" s="36" customFormat="1" ht="27" customHeight="1" x14ac:dyDescent="0.25">
      <c r="B11" s="114" t="s">
        <v>161</v>
      </c>
      <c r="C11" s="115"/>
      <c r="D11" s="50" t="s">
        <v>162</v>
      </c>
      <c r="E11" s="51" t="s">
        <v>163</v>
      </c>
    </row>
    <row r="12" spans="2:5" ht="60" customHeight="1" x14ac:dyDescent="0.25">
      <c r="B12" s="39">
        <v>1</v>
      </c>
      <c r="C12" s="31" t="s">
        <v>161</v>
      </c>
      <c r="D12" s="44" t="s">
        <v>169</v>
      </c>
      <c r="E12" s="32" t="s">
        <v>170</v>
      </c>
    </row>
    <row r="13" spans="2:5" ht="54.6" customHeight="1" x14ac:dyDescent="0.25">
      <c r="B13" s="39">
        <v>0.5</v>
      </c>
      <c r="C13" s="31" t="s">
        <v>161</v>
      </c>
      <c r="D13" s="44" t="s">
        <v>171</v>
      </c>
      <c r="E13" s="32" t="s">
        <v>172</v>
      </c>
    </row>
    <row r="14" spans="2:5" ht="31.5" x14ac:dyDescent="0.25">
      <c r="B14" s="40">
        <v>0</v>
      </c>
      <c r="C14" s="35" t="s">
        <v>161</v>
      </c>
      <c r="D14" s="45" t="s">
        <v>166</v>
      </c>
      <c r="E14" s="54"/>
    </row>
    <row r="16" spans="2:5" ht="21" x14ac:dyDescent="0.25">
      <c r="B16" s="3" t="s">
        <v>173</v>
      </c>
      <c r="C16" s="3"/>
      <c r="D16" s="47"/>
    </row>
    <row r="17" spans="2:5" s="36" customFormat="1" ht="27" customHeight="1" x14ac:dyDescent="0.25">
      <c r="B17" s="114" t="s">
        <v>161</v>
      </c>
      <c r="C17" s="115"/>
      <c r="D17" s="50" t="s">
        <v>162</v>
      </c>
      <c r="E17" s="51" t="s">
        <v>163</v>
      </c>
    </row>
    <row r="18" spans="2:5" ht="39.6" customHeight="1" x14ac:dyDescent="0.25">
      <c r="B18" s="39">
        <v>1</v>
      </c>
      <c r="C18" s="31" t="s">
        <v>161</v>
      </c>
      <c r="D18" s="48" t="s">
        <v>174</v>
      </c>
      <c r="E18" s="33" t="s">
        <v>175</v>
      </c>
    </row>
    <row r="19" spans="2:5" ht="37.9" customHeight="1" x14ac:dyDescent="0.25">
      <c r="B19" s="39">
        <v>0.5</v>
      </c>
      <c r="C19" s="31" t="s">
        <v>161</v>
      </c>
      <c r="D19" s="48" t="s">
        <v>176</v>
      </c>
      <c r="E19" s="33" t="s">
        <v>177</v>
      </c>
    </row>
    <row r="20" spans="2:5" ht="45" x14ac:dyDescent="0.25">
      <c r="B20" s="40">
        <v>0</v>
      </c>
      <c r="C20" s="35" t="s">
        <v>161</v>
      </c>
      <c r="D20" s="49" t="s">
        <v>178</v>
      </c>
      <c r="E20" s="56"/>
    </row>
    <row r="24" spans="2:5" ht="33.75" x14ac:dyDescent="0.25">
      <c r="B24" s="117" t="s">
        <v>179</v>
      </c>
      <c r="C24" s="117"/>
      <c r="D24" s="117"/>
      <c r="E24" s="117"/>
    </row>
    <row r="26" spans="2:5" ht="21" x14ac:dyDescent="0.25">
      <c r="B26" s="116" t="s">
        <v>180</v>
      </c>
      <c r="C26" s="116"/>
      <c r="D26" s="116"/>
      <c r="E26" s="116"/>
    </row>
    <row r="27" spans="2:5" s="36" customFormat="1" ht="27" customHeight="1" x14ac:dyDescent="0.25">
      <c r="B27" s="114" t="s">
        <v>161</v>
      </c>
      <c r="C27" s="115"/>
      <c r="D27" s="50" t="s">
        <v>162</v>
      </c>
      <c r="E27" s="51" t="s">
        <v>163</v>
      </c>
    </row>
    <row r="28" spans="2:5" ht="84.6" customHeight="1" x14ac:dyDescent="0.25">
      <c r="B28" s="42">
        <v>1</v>
      </c>
      <c r="C28" s="35" t="s">
        <v>161</v>
      </c>
      <c r="D28" s="48" t="s">
        <v>181</v>
      </c>
      <c r="E28" s="33" t="s">
        <v>182</v>
      </c>
    </row>
    <row r="29" spans="2:5" ht="30" x14ac:dyDescent="0.25">
      <c r="B29" s="43">
        <v>0</v>
      </c>
      <c r="C29" s="35" t="s">
        <v>161</v>
      </c>
      <c r="D29" s="49" t="s">
        <v>183</v>
      </c>
      <c r="E29" s="56"/>
    </row>
    <row r="30" spans="2:5" x14ac:dyDescent="0.25">
      <c r="B30" s="77"/>
      <c r="C30" s="78"/>
      <c r="D30" s="79"/>
      <c r="E30" s="80"/>
    </row>
    <row r="32" spans="2:5" ht="21" x14ac:dyDescent="0.25">
      <c r="B32" s="116" t="s">
        <v>184</v>
      </c>
      <c r="C32" s="116"/>
      <c r="D32" s="116"/>
      <c r="E32" s="116"/>
    </row>
    <row r="33" spans="2:5" s="36" customFormat="1" ht="27" customHeight="1" x14ac:dyDescent="0.25">
      <c r="B33" s="114" t="s">
        <v>161</v>
      </c>
      <c r="C33" s="115"/>
      <c r="D33" s="50" t="s">
        <v>162</v>
      </c>
      <c r="E33" s="51" t="s">
        <v>163</v>
      </c>
    </row>
    <row r="34" spans="2:5" ht="53.45" customHeight="1" x14ac:dyDescent="0.25">
      <c r="B34" s="42">
        <v>1</v>
      </c>
      <c r="C34" s="35" t="s">
        <v>161</v>
      </c>
      <c r="D34" s="48" t="s">
        <v>185</v>
      </c>
      <c r="E34" s="33" t="s">
        <v>186</v>
      </c>
    </row>
    <row r="35" spans="2:5" ht="45" customHeight="1" x14ac:dyDescent="0.25">
      <c r="B35" s="43">
        <v>0</v>
      </c>
      <c r="C35" s="35" t="s">
        <v>161</v>
      </c>
      <c r="D35" s="49" t="s">
        <v>187</v>
      </c>
      <c r="E35" s="57" t="s">
        <v>188</v>
      </c>
    </row>
    <row r="36" spans="2:5" x14ac:dyDescent="0.25">
      <c r="B36" s="77"/>
      <c r="C36" s="78"/>
      <c r="D36" s="79"/>
      <c r="E36" s="80"/>
    </row>
    <row r="38" spans="2:5" ht="21" x14ac:dyDescent="0.25">
      <c r="B38" s="116" t="s">
        <v>189</v>
      </c>
      <c r="C38" s="116"/>
      <c r="D38" s="116"/>
      <c r="E38" s="116"/>
    </row>
    <row r="39" spans="2:5" s="36" customFormat="1" ht="27" customHeight="1" x14ac:dyDescent="0.25">
      <c r="B39" s="114" t="s">
        <v>161</v>
      </c>
      <c r="C39" s="115"/>
      <c r="D39" s="50" t="s">
        <v>162</v>
      </c>
      <c r="E39" s="51" t="s">
        <v>163</v>
      </c>
    </row>
    <row r="40" spans="2:5" ht="47.25" x14ac:dyDescent="0.25">
      <c r="B40" s="39">
        <v>1</v>
      </c>
      <c r="C40" s="31" t="s">
        <v>161</v>
      </c>
      <c r="D40" s="44" t="s">
        <v>190</v>
      </c>
      <c r="E40" s="32" t="s">
        <v>191</v>
      </c>
    </row>
    <row r="41" spans="2:5" ht="45" customHeight="1" x14ac:dyDescent="0.25">
      <c r="B41" s="39">
        <v>0.5</v>
      </c>
      <c r="C41" s="31" t="s">
        <v>161</v>
      </c>
      <c r="D41" s="44" t="s">
        <v>192</v>
      </c>
      <c r="E41" s="32" t="s">
        <v>191</v>
      </c>
    </row>
    <row r="42" spans="2:5" ht="47.25" x14ac:dyDescent="0.25">
      <c r="B42" s="40">
        <v>0</v>
      </c>
      <c r="C42" s="35" t="s">
        <v>161</v>
      </c>
      <c r="D42" s="45" t="s">
        <v>193</v>
      </c>
      <c r="E42" s="34" t="s">
        <v>191</v>
      </c>
    </row>
    <row r="43" spans="2:5" x14ac:dyDescent="0.25">
      <c r="B43" s="77"/>
      <c r="C43" s="78"/>
      <c r="D43" s="79"/>
      <c r="E43" s="80"/>
    </row>
    <row r="45" spans="2:5" ht="21" x14ac:dyDescent="0.25">
      <c r="B45" s="118" t="s">
        <v>194</v>
      </c>
      <c r="C45" s="118"/>
      <c r="D45" s="118"/>
      <c r="E45" s="118"/>
    </row>
    <row r="46" spans="2:5" s="36" customFormat="1" ht="27" customHeight="1" x14ac:dyDescent="0.25">
      <c r="B46" s="114" t="s">
        <v>161</v>
      </c>
      <c r="C46" s="115"/>
      <c r="D46" s="50" t="s">
        <v>162</v>
      </c>
      <c r="E46" s="51" t="s">
        <v>163</v>
      </c>
    </row>
    <row r="47" spans="2:5" ht="265.89999999999998" customHeight="1" x14ac:dyDescent="0.25">
      <c r="B47" s="39">
        <v>1</v>
      </c>
      <c r="C47" s="31" t="s">
        <v>161</v>
      </c>
      <c r="D47" s="44" t="s">
        <v>195</v>
      </c>
      <c r="E47" s="32" t="s">
        <v>196</v>
      </c>
    </row>
    <row r="48" spans="2:5" ht="45.6" customHeight="1" x14ac:dyDescent="0.25">
      <c r="B48" s="39">
        <v>0.5</v>
      </c>
      <c r="C48" s="31" t="s">
        <v>161</v>
      </c>
      <c r="D48" s="44" t="s">
        <v>197</v>
      </c>
      <c r="E48" s="32" t="s">
        <v>198</v>
      </c>
    </row>
    <row r="49" spans="2:5" ht="46.15" customHeight="1" x14ac:dyDescent="0.25">
      <c r="B49" s="40">
        <v>0</v>
      </c>
      <c r="C49" s="35" t="s">
        <v>161</v>
      </c>
      <c r="D49" s="45" t="s">
        <v>199</v>
      </c>
      <c r="E49" s="54"/>
    </row>
    <row r="50" spans="2:5" x14ac:dyDescent="0.25">
      <c r="B50" s="77"/>
      <c r="C50" s="78"/>
      <c r="D50" s="79"/>
      <c r="E50" s="80"/>
    </row>
    <row r="52" spans="2:5" ht="21" x14ac:dyDescent="0.25">
      <c r="B52" s="118" t="s">
        <v>200</v>
      </c>
      <c r="C52" s="118"/>
      <c r="D52" s="118"/>
      <c r="E52" s="118"/>
    </row>
    <row r="53" spans="2:5" s="36" customFormat="1" ht="27" customHeight="1" x14ac:dyDescent="0.25">
      <c r="B53" s="114" t="s">
        <v>161</v>
      </c>
      <c r="C53" s="115"/>
      <c r="D53" s="50" t="s">
        <v>162</v>
      </c>
      <c r="E53" s="51" t="s">
        <v>163</v>
      </c>
    </row>
    <row r="54" spans="2:5" ht="47.45" customHeight="1" x14ac:dyDescent="0.25">
      <c r="B54" s="39">
        <v>1</v>
      </c>
      <c r="C54" s="31" t="s">
        <v>161</v>
      </c>
      <c r="D54" s="48" t="s">
        <v>201</v>
      </c>
      <c r="E54" s="33" t="s">
        <v>202</v>
      </c>
    </row>
    <row r="55" spans="2:5" ht="43.9" customHeight="1" x14ac:dyDescent="0.25">
      <c r="B55" s="39">
        <v>0.5</v>
      </c>
      <c r="C55" s="31" t="s">
        <v>161</v>
      </c>
      <c r="D55" s="48" t="s">
        <v>203</v>
      </c>
      <c r="E55" s="33" t="s">
        <v>204</v>
      </c>
    </row>
    <row r="56" spans="2:5" ht="44.45" customHeight="1" x14ac:dyDescent="0.25">
      <c r="B56" s="40">
        <v>0</v>
      </c>
      <c r="C56" s="35" t="s">
        <v>161</v>
      </c>
      <c r="D56" s="49" t="s">
        <v>205</v>
      </c>
      <c r="E56" s="37" t="s">
        <v>206</v>
      </c>
    </row>
    <row r="57" spans="2:5" x14ac:dyDescent="0.25">
      <c r="B57" s="81"/>
      <c r="C57" s="31"/>
      <c r="D57" s="48"/>
      <c r="E57" s="82"/>
    </row>
  </sheetData>
  <mergeCells count="17">
    <mergeCell ref="B53:C53"/>
    <mergeCell ref="B38:E38"/>
    <mergeCell ref="B45:E45"/>
    <mergeCell ref="B52:E52"/>
    <mergeCell ref="B11:C11"/>
    <mergeCell ref="B17:C17"/>
    <mergeCell ref="B27:C27"/>
    <mergeCell ref="B33:C33"/>
    <mergeCell ref="B39:C39"/>
    <mergeCell ref="B46:C46"/>
    <mergeCell ref="B5:C5"/>
    <mergeCell ref="B10:E10"/>
    <mergeCell ref="B26:E26"/>
    <mergeCell ref="B32:E32"/>
    <mergeCell ref="B2:E2"/>
    <mergeCell ref="B4:E4"/>
    <mergeCell ref="B24:E24"/>
  </mergeCells>
  <pageMargins left="0.7" right="0.7" top="0.75" bottom="0.75" header="0.3" footer="0.3"/>
  <pageSetup paperSize="9" scale="6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workbookViewId="0">
      <selection activeCell="J14" sqref="J14"/>
    </sheetView>
  </sheetViews>
  <sheetFormatPr defaultRowHeight="15" x14ac:dyDescent="0.25"/>
  <sheetData>
    <row r="1" spans="1:7" ht="60" x14ac:dyDescent="0.25">
      <c r="A1" s="71" t="s">
        <v>207</v>
      </c>
      <c r="B1" s="71" t="s">
        <v>208</v>
      </c>
      <c r="C1" s="71" t="s">
        <v>209</v>
      </c>
      <c r="D1" s="71" t="s">
        <v>210</v>
      </c>
      <c r="E1" s="71" t="s">
        <v>211</v>
      </c>
      <c r="F1" s="71" t="s">
        <v>212</v>
      </c>
      <c r="G1" s="71" t="s">
        <v>213</v>
      </c>
    </row>
    <row r="2" spans="1:7" x14ac:dyDescent="0.25">
      <c r="A2" s="72">
        <v>0</v>
      </c>
      <c r="B2" s="72" t="s">
        <v>93</v>
      </c>
      <c r="C2" s="72">
        <v>0</v>
      </c>
      <c r="D2" s="72">
        <v>0</v>
      </c>
      <c r="E2" s="72">
        <v>0</v>
      </c>
      <c r="F2" s="72">
        <v>0</v>
      </c>
      <c r="G2" s="72">
        <v>0</v>
      </c>
    </row>
    <row r="3" spans="1:7" x14ac:dyDescent="0.25">
      <c r="A3" s="72"/>
      <c r="B3" s="72"/>
      <c r="C3" s="72">
        <v>1</v>
      </c>
      <c r="D3" s="72">
        <v>1</v>
      </c>
      <c r="E3" s="72">
        <v>0.5</v>
      </c>
      <c r="F3" s="72">
        <v>0.5</v>
      </c>
      <c r="G3" s="72">
        <v>0.5</v>
      </c>
    </row>
    <row r="4" spans="1:7" x14ac:dyDescent="0.25">
      <c r="A4" s="72"/>
      <c r="B4" s="72"/>
      <c r="C4" s="72"/>
      <c r="D4" s="72"/>
      <c r="E4" s="72">
        <v>1</v>
      </c>
      <c r="F4" s="72">
        <v>1</v>
      </c>
      <c r="G4" s="72">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0934e2-568b-408c-90a9-1d280ab9521c">
      <Terms xmlns="http://schemas.microsoft.com/office/infopath/2007/PartnerControls"/>
    </lcf76f155ced4ddcb4097134ff3c332f>
    <TaxCatchAll xmlns="67429372-753f-4bf2-8562-4985ce4a95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B7E8D7E98E4E49BBA5148831CE5408" ma:contentTypeVersion="18" ma:contentTypeDescription="Create a new document." ma:contentTypeScope="" ma:versionID="d0095d36dec7352e6cdb087ba72b58ac">
  <xsd:schema xmlns:xsd="http://www.w3.org/2001/XMLSchema" xmlns:xs="http://www.w3.org/2001/XMLSchema" xmlns:p="http://schemas.microsoft.com/office/2006/metadata/properties" xmlns:ns2="c60934e2-568b-408c-90a9-1d280ab9521c" xmlns:ns3="67429372-753f-4bf2-8562-4985ce4a9539" targetNamespace="http://schemas.microsoft.com/office/2006/metadata/properties" ma:root="true" ma:fieldsID="1602783d191b7fffe3ffddd62f7580a5" ns2:_="" ns3:_="">
    <xsd:import namespace="c60934e2-568b-408c-90a9-1d280ab9521c"/>
    <xsd:import namespace="67429372-753f-4bf2-8562-4985ce4a953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0934e2-568b-408c-90a9-1d280ab952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c149374-6edc-42e0-82c3-af76cea61f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429372-753f-4bf2-8562-4985ce4a95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3e038da-49bf-4d28-81df-a2bbef2c2aec}" ma:internalName="TaxCatchAll" ma:showField="CatchAllData" ma:web="67429372-753f-4bf2-8562-4985ce4a95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BC44D1-5573-44AE-B196-1A561BD16CB1}">
  <ds:schemaRefs>
    <ds:schemaRef ds:uri="http://schemas.microsoft.com/office/2006/metadata/properties"/>
    <ds:schemaRef ds:uri="http://schemas.microsoft.com/office/infopath/2007/PartnerControls"/>
    <ds:schemaRef ds:uri="c60934e2-568b-408c-90a9-1d280ab9521c"/>
    <ds:schemaRef ds:uri="67429372-753f-4bf2-8562-4985ce4a9539"/>
  </ds:schemaRefs>
</ds:datastoreItem>
</file>

<file path=customXml/itemProps2.xml><?xml version="1.0" encoding="utf-8"?>
<ds:datastoreItem xmlns:ds="http://schemas.openxmlformats.org/officeDocument/2006/customXml" ds:itemID="{8BC02DF9-EC28-4BC7-99A1-D2C61F032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0934e2-568b-408c-90a9-1d280ab9521c"/>
    <ds:schemaRef ds:uri="67429372-753f-4bf2-8562-4985ce4a95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53E4B0-9C71-4486-AD55-F2EC284A4E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vt:lpstr>
      <vt:lpstr>Summary Report</vt:lpstr>
      <vt:lpstr>Scoring Guideline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2026-04-22T04:44:39Z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0x010100D6B7E8D7E98E4E49BBA5148831CE5408</vt:lpwstr>
  </property>
  <property fmtid="{D5CDD505-2E9C-101B-9397-08002B2CF9AE}" pid="3" name="MediaServiceImageTags">
    <vt:lpwstr/>
  </property>
</Properties>
</file>